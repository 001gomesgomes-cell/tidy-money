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Monthly Budget" sheetId="3" state="visible" r:id="rId3"/>
    <sheet name="Settings" sheetId="4" state="visible" r:id="rId4"/>
    <sheet name="Transactions" sheetId="5" state="visible" r:id="rId5"/>
    <sheet name="Budget Plan" sheetId="6" state="visible" r:id="rId6"/>
    <sheet name="Annual Overview" sheetId="7" state="visible" r:id="rId7"/>
    <sheet name="Savings Goals" sheetId="8" state="visible" r:id="rId8"/>
    <sheet name="Debt Payoff" sheetId="9" state="visible" r:id="rId9"/>
    <sheet name="Net Worth" sheetId="10" state="visible" r:id="rId10"/>
  </sheets>
  <definedNames>
    <definedName name="ExpenseCats">Settings!$B$8:$B$37</definedName>
    <definedName name="IncomeCats">Settings!$D$8:$D$37</definedName>
    <definedName name="Accounts">Settings!$F$8:$F$37</definedName>
    <definedName name="Months">Settings!$H$8:$H$19</definedName>
    <definedName name="_xlnm._FilterDatabase" localSheetId="4" hidden="1">'Transactions'!$B$6:$I$1006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mmmm yyyy"/>
    <numFmt numFmtId="165" formatCode="mmm d, yyyy"/>
    <numFmt numFmtId="166" formatCode="&quot;$&quot;#,##0.00;[Red]-&quot;$&quot;#,##0.00;&quot;-&quot;"/>
    <numFmt numFmtId="167" formatCode="mmm yy"/>
    <numFmt numFmtId="168" formatCode="&quot;$&quot;#,##0;[Red]-&quot;$&quot;#,##0;&quot;-&quot;"/>
    <numFmt numFmtId="169" formatCode="&quot;$&quot;#,##0&quot; over&quot;;&quot;$&quot;#,##0&quot; under&quot;;&quot;on plan&quot;"/>
    <numFmt numFmtId="170" formatCode="mmm"/>
    <numFmt numFmtId="171" formatCode="mmm yyyy"/>
  </numFmts>
  <fonts count="18">
    <font>
      <name val="Calibri"/>
      <family val="2"/>
      <color theme="1"/>
      <sz val="11"/>
      <scheme val="minor"/>
    </font>
    <font>
      <name val="Arial"/>
      <b val="1"/>
      <color rgb="001F3D2B"/>
      <sz val="18"/>
    </font>
    <font>
      <name val="Arial"/>
      <i val="1"/>
      <color rgb="006B6B6B"/>
      <sz val="10"/>
    </font>
    <font>
      <name val="Arial"/>
      <b val="1"/>
      <color rgb="001B1B1B"/>
      <sz val="10"/>
    </font>
    <font>
      <name val="Arial"/>
      <b val="1"/>
      <color rgb="001F3D2B"/>
      <sz val="12"/>
    </font>
    <font>
      <name val="Arial"/>
      <b val="1"/>
      <color rgb="00FFFFFF"/>
      <sz val="10"/>
    </font>
    <font>
      <name val="Arial"/>
      <color rgb="006B6B6B"/>
      <sz val="10"/>
    </font>
    <font>
      <name val="Arial"/>
      <b val="1"/>
      <color rgb="00FFFFFF"/>
    </font>
    <font>
      <name val="Arial"/>
      <b val="1"/>
      <color rgb="001F3D2B"/>
      <sz val="10"/>
    </font>
    <font>
      <name val="Arial"/>
      <b val="1"/>
      <color rgb="001F3D2B"/>
      <sz val="11"/>
    </font>
    <font>
      <name val="Arial"/>
      <b val="1"/>
      <color rgb="006B6B6B"/>
      <sz val="9"/>
    </font>
    <font>
      <name val="Arial"/>
      <b val="1"/>
      <color rgb="001F3D2B"/>
      <sz val="20"/>
    </font>
    <font>
      <name val="Arial"/>
      <b val="1"/>
      <color rgb="001F3D2B"/>
      <sz val="14"/>
    </font>
    <font>
      <name val="Arial"/>
      <i val="1"/>
      <color rgb="006B6B6B"/>
      <sz val="8"/>
    </font>
    <font>
      <name val="Arial"/>
      <b val="1"/>
      <color rgb="001F3D2B"/>
      <sz val="22"/>
    </font>
    <font>
      <name val="Arial"/>
      <i val="1"/>
      <color rgb="006B6B6B"/>
      <sz val="11"/>
    </font>
    <font>
      <name val="Arial"/>
      <b val="1"/>
      <color rgb="007FA98B"/>
      <sz val="11"/>
    </font>
    <font>
      <name val="Arial"/>
      <color rgb="001B1B1B"/>
      <sz val="10"/>
    </font>
  </fonts>
  <fills count="6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1F3D2B"/>
        <bgColor rgb="001F3D2B"/>
      </patternFill>
    </fill>
    <fill>
      <patternFill patternType="solid">
        <fgColor rgb="00E4EFE7"/>
        <bgColor rgb="00E4EF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applyAlignment="1" pivotButton="0" quotePrefix="0" xfId="0">
      <alignment vertical="top" wrapText="1"/>
    </xf>
    <xf numFmtId="0" fontId="13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4" fontId="4" fillId="2" borderId="1" applyAlignment="1" pivotButton="0" quotePrefix="0" xfId="0">
      <alignment horizontal="center"/>
    </xf>
    <xf numFmtId="0" fontId="2" fillId="0" borderId="0" pivotButton="0" quotePrefix="0" xfId="0"/>
    <xf numFmtId="0" fontId="10" fillId="5" borderId="1" applyAlignment="1" pivotButton="0" quotePrefix="0" xfId="0">
      <alignment horizontal="center"/>
    </xf>
    <xf numFmtId="0" fontId="0" fillId="5" borderId="1" pivotButton="0" quotePrefix="0" xfId="0"/>
    <xf numFmtId="168" fontId="11" fillId="5" borderId="1" applyAlignment="1" pivotButton="0" quotePrefix="0" xfId="0">
      <alignment horizontal="center" vertical="center"/>
    </xf>
    <xf numFmtId="9" fontId="11" fillId="5" borderId="1" applyAlignment="1" pivotButton="0" quotePrefix="0" xfId="0">
      <alignment horizontal="center" vertical="center"/>
    </xf>
    <xf numFmtId="0" fontId="10" fillId="0" borderId="0" pivotButton="0" quotePrefix="0" xfId="0"/>
    <xf numFmtId="168" fontId="12" fillId="0" borderId="0" pivotButton="0" quotePrefix="0" xfId="0"/>
    <xf numFmtId="169" fontId="12" fillId="0" borderId="0" pivotButton="0" quotePrefix="0" xfId="0"/>
    <xf numFmtId="0" fontId="1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8" fontId="0" fillId="5" borderId="1" pivotButton="0" quotePrefix="0" xfId="0"/>
    <xf numFmtId="9" fontId="0" fillId="5" borderId="1" pivotButton="0" quotePrefix="0" xfId="0"/>
    <xf numFmtId="0" fontId="3" fillId="4" borderId="1" pivotButton="0" quotePrefix="0" xfId="0"/>
    <xf numFmtId="168" fontId="3" fillId="4" borderId="1" pivotButton="0" quotePrefix="0" xfId="0"/>
    <xf numFmtId="9" fontId="3" fillId="4" borderId="1" pivotButton="0" quotePrefix="0" xfId="0"/>
    <xf numFmtId="164" fontId="4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8" fontId="6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7" fillId="3" borderId="1" pivotButton="0" quotePrefix="0" xfId="0"/>
    <xf numFmtId="0" fontId="0" fillId="2" borderId="1" pivotButton="0" quotePrefix="0" xfId="0"/>
    <xf numFmtId="164" fontId="0" fillId="4" borderId="1" pivotButton="0" quotePrefix="0" xfId="0"/>
    <xf numFmtId="0" fontId="6" fillId="4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4" fontId="6" fillId="4" borderId="1" pivotButton="0" quotePrefix="0" xfId="0"/>
    <xf numFmtId="167" fontId="5" fillId="3" borderId="1" applyAlignment="1" pivotButton="0" quotePrefix="0" xfId="0">
      <alignment horizontal="center" vertical="center" wrapText="1"/>
    </xf>
    <xf numFmtId="0" fontId="8" fillId="4" borderId="0" pivotButton="0" quotePrefix="0" xfId="0"/>
    <xf numFmtId="0" fontId="0" fillId="4" borderId="0" pivotButton="0" quotePrefix="0" xfId="0"/>
    <xf numFmtId="0" fontId="6" fillId="0" borderId="1" pivotButton="0" quotePrefix="0" xfId="0"/>
    <xf numFmtId="168" fontId="0" fillId="2" borderId="1" pivotButton="0" quotePrefix="0" xfId="0"/>
    <xf numFmtId="168" fontId="0" fillId="0" borderId="1" pivotButton="0" quotePrefix="0" xfId="0"/>
    <xf numFmtId="168" fontId="8" fillId="0" borderId="1" pivotButton="0" quotePrefix="0" xfId="0"/>
    <xf numFmtId="17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0" borderId="1" pivotButton="0" quotePrefix="0" xfId="0"/>
    <xf numFmtId="165" fontId="6" fillId="0" borderId="0" pivotButton="0" quotePrefix="0" xfId="0"/>
    <xf numFmtId="9" fontId="0" fillId="0" borderId="1" pivotButton="0" quotePrefix="0" xfId="0"/>
    <xf numFmtId="0" fontId="8" fillId="2" borderId="1" pivotButton="0" quotePrefix="0" xfId="0"/>
    <xf numFmtId="10" fontId="0" fillId="2" borderId="1" pivotButton="0" quotePrefix="0" xfId="0"/>
    <xf numFmtId="166" fontId="0" fillId="0" borderId="1" pivotButton="0" quotePrefix="0" xfId="0"/>
    <xf numFmtId="166" fontId="3" fillId="4" borderId="1" pivotButton="0" quotePrefix="0" xfId="0"/>
    <xf numFmtId="171" fontId="6" fillId="0" borderId="1" pivotButton="0" quotePrefix="0" xfId="0"/>
    <xf numFmtId="168" fontId="8" fillId="4" borderId="1" pivotButton="0" quotePrefix="0" xfId="0"/>
  </cellXfs>
  <cellStyles count="1">
    <cellStyle name="Normal" xfId="0" builtinId="0" hidden="0"/>
  </cellStyles>
  <dxfs count="8">
    <dxf>
      <font>
        <name val="Arial"/>
        <b val="1"/>
        <color rgb="00B03A2E"/>
        <sz val="20"/>
      </font>
    </dxf>
    <dxf>
      <font>
        <name val="Arial"/>
        <b val="1"/>
        <color rgb="00B03A2E"/>
        <sz val="14"/>
      </font>
    </dxf>
    <dxf>
      <fill>
        <patternFill patternType="solid">
          <fgColor rgb="00F6DADA"/>
          <bgColor rgb="00F6DADA"/>
        </patternFill>
      </fill>
    </dxf>
    <dxf>
      <fill>
        <patternFill patternType="solid">
          <fgColor rgb="00DDEFE0"/>
          <bgColor rgb="00DDEFE0"/>
        </patternFill>
      </fill>
    </dxf>
    <dxf>
      <fill>
        <patternFill patternType="solid">
          <fgColor rgb="00F3F7F4"/>
          <bgColor rgb="00F3F7F4"/>
        </patternFill>
      </fill>
    </dxf>
    <dxf>
      <fill>
        <patternFill patternType="solid">
          <fgColor rgb="00E3B23C"/>
          <bgColor rgb="00E3B23C"/>
        </patternFill>
      </fill>
    </dxf>
    <dxf>
      <font>
        <name val="Arial"/>
        <color rgb="00B03A2E"/>
      </font>
    </dxf>
    <dxf>
      <font>
        <name val="Arial"/>
        <color rgb="002E7D4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Planned vs actual — selected month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'Dashboard'!D11</f>
            </strRef>
          </tx>
          <spPr>
            <a:solidFill>
              <a:srgbClr val="D9D4CB"/>
            </a:solidFill>
            <a:ln>
              <a:prstDash val="solid"/>
            </a:ln>
          </spPr>
          <cat>
            <numRef>
              <f>'Dashboard'!$C$12:$C$27</f>
            </numRef>
          </cat>
          <val>
            <numRef>
              <f>'Dashboard'!$D$12:$D$27</f>
            </numRef>
          </val>
        </ser>
        <ser>
          <idx val="1"/>
          <order val="1"/>
          <tx>
            <strRef>
              <f>'Dashboard'!E11</f>
            </strRef>
          </tx>
          <spPr>
            <a:solidFill>
              <a:srgbClr val="7FA98B"/>
            </a:solidFill>
            <a:ln>
              <a:prstDash val="solid"/>
            </a:ln>
          </spPr>
          <cat>
            <numRef>
              <f>'Dashboard'!$C$12:$C$27</f>
            </numRef>
          </cat>
          <val>
            <numRef>
              <f>'Dashboard'!$E$12:$E$27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'Annual Overview'!B18</f>
            </strRef>
          </tx>
          <spPr>
            <a:ln w="28000">
              <a:solidFill>
                <a:srgbClr val="7FA98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Overview'!$C$6:$N$6</f>
            </numRef>
          </cat>
          <val>
            <numRef>
              <f>'Annual Overview'!$C$18:$N$18</f>
            </numRef>
          </val>
        </ser>
        <ser>
          <idx val="1"/>
          <order val="1"/>
          <tx>
            <strRef>
              <f>'Annual Overview'!B51</f>
            </strRef>
          </tx>
          <spPr>
            <a:ln w="28000">
              <a:solidFill>
                <a:srgbClr val="E3B2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Overview'!$C$6:$N$6</f>
            </numRef>
          </cat>
          <val>
            <numRef>
              <f>'Annual Overview'!$C$51:$N$51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Worth'!N6</f>
            </strRef>
          </tx>
          <spPr>
            <a:ln w="28000">
              <a:solidFill>
                <a:srgbClr val="1F3D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Worth'!$B$7:$B$30</f>
            </numRef>
          </cat>
          <val>
            <numRef>
              <f>'Net Worth'!$N$7:$N$30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19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E3B23C"/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00" customWidth="1" min="3" max="3"/>
  </cols>
  <sheetData>
    <row r="2">
      <c r="B2" s="1" t="inlineStr">
        <is>
          <t>Tidy Money — Budget Dashboard</t>
        </is>
      </c>
    </row>
    <row r="3">
      <c r="B3" s="2" t="inlineStr">
        <is>
          <t>Thank you for your purchase. This page gets you set up in about 10 minutes.</t>
        </is>
      </c>
    </row>
    <row r="5">
      <c r="B5" s="3" t="inlineStr">
        <is>
          <t>USING GOOGLE SHEETS?</t>
        </is>
      </c>
    </row>
    <row r="6" ht="32" customHeight="1">
      <c r="B6" s="4" t="inlineStr">
        <is>
          <t>1</t>
        </is>
      </c>
      <c r="C6" s="5" t="inlineStr">
        <is>
          <t>Upload this file to Google Drive, open it, then choose File → Save as Google Sheets. (Or in Sheets: File → Import → Upload → 'Replace spreadsheet'.) Every formula, dropdown and chart is compatible.</t>
        </is>
      </c>
    </row>
    <row r="7">
      <c r="B7" s="3" t="inlineStr">
        <is>
          <t>USING EXCEL?</t>
        </is>
      </c>
    </row>
    <row r="8" ht="32" customHeight="1">
      <c r="B8" s="4" t="inlineStr">
        <is>
          <t>1</t>
        </is>
      </c>
      <c r="C8" s="5" t="inlineStr">
        <is>
          <t>Just open the file. If Excel shows 'Protected View', click Enable Editing. Works on Mac &amp; Windows, Excel 2016 or newer and Microsoft 365. Apple Numbers opens it too (charts may look slightly different).</t>
        </is>
      </c>
    </row>
    <row r="9">
      <c r="B9" s="3" t="inlineStr">
        <is>
          <t>SET-UP (ONCE)</t>
        </is>
      </c>
    </row>
    <row r="10" ht="32" customHeight="1">
      <c r="B10" s="4" t="inlineStr">
        <is>
          <t>2</t>
        </is>
      </c>
      <c r="C10" s="5" t="inlineStr">
        <is>
          <t>Settings tab → set your budget year and edit the category and account lists to match your life. Keep names short.</t>
        </is>
      </c>
    </row>
    <row r="11" ht="32" customHeight="1">
      <c r="B11" s="4" t="inlineStr">
        <is>
          <t>3</t>
        </is>
      </c>
      <c r="C11" s="5" t="inlineStr">
        <is>
          <t>Budget Plan tab → type a default monthly amount for each income and expense category. Any single month can be overwritten later.</t>
        </is>
      </c>
    </row>
    <row r="12" ht="32" customHeight="1">
      <c r="B12" s="4" t="inlineStr">
        <is>
          <t>4</t>
        </is>
      </c>
      <c r="C12" s="5" t="inlineStr">
        <is>
          <t>Transactions tab → delete the example rows (they say 'example' in Notes) and start logging. Date, description, Income/Expense, category, amount. That's it.</t>
        </is>
      </c>
    </row>
    <row r="13">
      <c r="B13" s="3" t="inlineStr">
        <is>
          <t>EVERY WEEK (5 MINUTES)</t>
        </is>
      </c>
    </row>
    <row r="14" ht="32" customHeight="1">
      <c r="B14" s="4" t="inlineStr">
        <is>
          <t>5</t>
        </is>
      </c>
      <c r="C14" s="5" t="inlineStr">
        <is>
          <t>Add your transactions. Open the Dashboard, pick the month in the yellow dropdown, and see what's left in each category.</t>
        </is>
      </c>
    </row>
    <row r="15" ht="32" customHeight="1">
      <c r="B15" s="4" t="inlineStr">
        <is>
          <t>6</t>
        </is>
      </c>
      <c r="C15" s="5" t="inlineStr">
        <is>
          <t>Savings Goals → update 'Saved so far'. Debt Payoff → update balances. Net Worth → once a month, type your balances.</t>
        </is>
      </c>
    </row>
    <row r="16">
      <c r="B16" s="3" t="inlineStr">
        <is>
          <t>GOOD TO KNOW</t>
        </is>
      </c>
    </row>
    <row r="17" ht="32" customHeight="1">
      <c r="B17" s="4" t="inlineStr">
        <is>
          <t>•</t>
        </is>
      </c>
      <c r="C17" s="5" t="inlineStr">
        <is>
          <t>Yellow cells are for you to type in. White and green cells are formulas — leave them alone (if you break one, just undo).</t>
        </is>
      </c>
    </row>
    <row r="18" ht="32" customHeight="1">
      <c r="B18" s="4" t="inlineStr">
        <is>
          <t>•</t>
        </is>
      </c>
      <c r="C18" s="5" t="inlineStr">
        <is>
          <t>Savings rate = (income − expenses) ÷ income for the selected month. 'Savings transfers' counts as an expense so money you move to savings isn't double-counted.</t>
        </is>
      </c>
    </row>
    <row r="19" ht="32" customHeight="1">
      <c r="B19" s="4" t="inlineStr">
        <is>
          <t>•</t>
        </is>
      </c>
      <c r="C19" s="5" t="inlineStr">
        <is>
          <t>Couples: share the Google Sheet with your partner; you can both log from your phones with the Google Sheets app.</t>
        </is>
      </c>
    </row>
    <row r="20" ht="32" customHeight="1">
      <c r="B20" s="4" t="inlineStr">
        <is>
          <t>•</t>
        </is>
      </c>
      <c r="C20" s="5" t="inlineStr">
        <is>
          <t>New year? Save a copy, change the year in Settings, clear the Transactions rows, and keep your plan.</t>
        </is>
      </c>
    </row>
    <row r="21" ht="18" customHeight="1">
      <c r="B21" s="4" t="inlineStr">
        <is>
          <t>•</t>
        </is>
      </c>
      <c r="C21" s="5" t="inlineStr">
        <is>
          <t>Need help or a refund within 7 days? Reply to your Whop receipt email.</t>
        </is>
      </c>
    </row>
    <row r="23">
      <c r="C23" s="6" t="inlineStr">
        <is>
          <t>© Tidy Money. For personal use. Please don't resell or redistribute this file.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D2B"/>
    <outlinePr summaryBelow="1" summaryRight="1"/>
    <pageSetUpPr fitToPage="1"/>
  </sheetPr>
  <dimension ref="B2:M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20" customWidth="1" min="9" max="9"/>
    <col width="12" customWidth="1" min="10" max="10"/>
    <col width="3" customWidth="1" min="11" max="11"/>
    <col width="16" customWidth="1" min="12" max="12"/>
    <col width="12" customWidth="1" min="13" max="13"/>
  </cols>
  <sheetData>
    <row r="2">
      <c r="B2" s="7" t="inlineStr">
        <is>
          <t>Tidy Money — Budget Dashboard</t>
        </is>
      </c>
    </row>
    <row r="3">
      <c r="B3" s="8" t="inlineStr">
        <is>
          <t>Pick a month →</t>
        </is>
      </c>
      <c r="C3" s="9">
        <f>DATE(Settings!$C$5,9,1)</f>
        <v/>
      </c>
      <c r="E3" s="10" t="inlineStr">
        <is>
          <t>(dropdown – all tabs marked 'selected month' follow this cell)</t>
        </is>
      </c>
    </row>
    <row r="5">
      <c r="C5" s="11" t="inlineStr">
        <is>
          <t>Income this month</t>
        </is>
      </c>
      <c r="D5" s="12" t="n"/>
      <c r="F5" s="11" t="inlineStr">
        <is>
          <t>Spent this month</t>
        </is>
      </c>
      <c r="G5" s="12" t="n"/>
      <c r="I5" s="11" t="inlineStr">
        <is>
          <t>Left over</t>
        </is>
      </c>
      <c r="J5" s="12" t="n"/>
      <c r="L5" s="11" t="inlineStr">
        <is>
          <t>Savings rate</t>
        </is>
      </c>
      <c r="M5" s="12" t="n"/>
    </row>
    <row r="6" ht="34" customHeight="1">
      <c r="C6" s="13">
        <f>SUMIFS(Transactions!$F$7:$F$1006,Transactions!$D$7:$D$1006,"Income",Transactions!$I$7:$I$1006,Dashboard!$C$3)</f>
        <v/>
      </c>
      <c r="D6" s="12" t="n"/>
      <c r="F6" s="13">
        <f>SUMIFS(Transactions!$F$7:$F$1006,Transactions!$D$7:$D$1006,"Expense",Transactions!$I$7:$I$1006,Dashboard!$C$3)</f>
        <v/>
      </c>
      <c r="G6" s="12" t="n"/>
      <c r="I6" s="13">
        <f>C6-F6</f>
        <v/>
      </c>
      <c r="J6" s="12" t="n"/>
      <c r="L6" s="14">
        <f>IF(C6=0,0,I6/C6)</f>
        <v/>
      </c>
      <c r="M6" s="12" t="n"/>
    </row>
    <row r="8">
      <c r="C8" s="15" t="inlineStr">
        <is>
          <t>Planned expenses</t>
        </is>
      </c>
      <c r="F8" s="15" t="inlineStr">
        <is>
          <t>Actual vs plan</t>
        </is>
      </c>
      <c r="I8" s="15" t="inlineStr">
        <is>
          <t>Planned income</t>
        </is>
      </c>
      <c r="L8" s="15" t="inlineStr">
        <is>
          <t>Transactions logged</t>
        </is>
      </c>
    </row>
    <row r="9">
      <c r="C9" s="16">
        <f>IFERROR(INDEX('Budget Plan'!$D$51:$O$51,MATCH(Dashboard!$C$3,'Budget Plan'!$D$6:$O$6,0)),0)</f>
        <v/>
      </c>
      <c r="F9" s="17">
        <f>F6-C9</f>
        <v/>
      </c>
      <c r="I9" s="16">
        <f>IFERROR(INDEX('Budget Plan'!$D$18:$O$18,MATCH(Dashboard!$C$3,'Budget Plan'!$D$6:$O$6,0)),0)</f>
        <v/>
      </c>
      <c r="L9" s="18">
        <f>COUNTIFS(Transactions!$I$7:$I$1006,Dashboard!$C$3)</f>
        <v/>
      </c>
    </row>
    <row r="11" ht="22" customHeight="1">
      <c r="C11" s="19" t="inlineStr">
        <is>
          <t>Category</t>
        </is>
      </c>
      <c r="D11" s="19" t="inlineStr">
        <is>
          <t>Planned</t>
        </is>
      </c>
      <c r="E11" s="19" t="inlineStr">
        <is>
          <t>Actual</t>
        </is>
      </c>
      <c r="F11" s="19" t="inlineStr">
        <is>
          <t>Left</t>
        </is>
      </c>
      <c r="G11" s="19" t="inlineStr">
        <is>
          <t>% used</t>
        </is>
      </c>
      <c r="I11" s="19" t="inlineStr">
        <is>
          <t>Top spending</t>
        </is>
      </c>
      <c r="J11" s="19" t="inlineStr">
        <is>
          <t>Amount</t>
        </is>
      </c>
    </row>
    <row r="12">
      <c r="C12" s="12">
        <f>IF(Settings!B8="","",Settings!B8)</f>
        <v/>
      </c>
      <c r="D12" s="20">
        <f>IF($C12="","",IFERROR(INDEX('Budget Plan'!$D$21:$O$21,MATCH(Dashboard!$C$3,'Budget Plan'!$D$6:$O$6,0)),0))</f>
        <v/>
      </c>
      <c r="E12" s="20">
        <f>IF($C12="","",SUMIFS(Transactions!$F$7:$F$1006,Transactions!$D$7:$D$1006,"Expense",Transactions!$E$7:$E$1006,$C12,Transactions!$I$7:$I$1006,Dashboard!$C$3))</f>
        <v/>
      </c>
      <c r="F12" s="20">
        <f>IF($C12="","",D12-E12)</f>
        <v/>
      </c>
      <c r="G12" s="21">
        <f>IF($C12="","",IF(D12=0,IF(E12&gt;0,1,0),E12/D12))</f>
        <v/>
      </c>
      <c r="I12" s="12">
        <f>IFERROR(INDEX($C$12:$C$41,MATCH(LARGE($E$12:$E$41,1),$E$12:$E$41,0)),"")</f>
        <v/>
      </c>
      <c r="J12" s="20">
        <f>IFERROR(LARGE($E$12:$E$41,1),"")</f>
        <v/>
      </c>
    </row>
    <row r="13">
      <c r="C13" s="12">
        <f>IF(Settings!B9="","",Settings!B9)</f>
        <v/>
      </c>
      <c r="D13" s="20">
        <f>IF($C13="","",IFERROR(INDEX('Budget Plan'!$D$22:$O$22,MATCH(Dashboard!$C$3,'Budget Plan'!$D$6:$O$6,0)),0))</f>
        <v/>
      </c>
      <c r="E13" s="20">
        <f>IF($C13="","",SUMIFS(Transactions!$F$7:$F$1006,Transactions!$D$7:$D$1006,"Expense",Transactions!$E$7:$E$1006,$C13,Transactions!$I$7:$I$1006,Dashboard!$C$3))</f>
        <v/>
      </c>
      <c r="F13" s="20">
        <f>IF($C13="","",D13-E13)</f>
        <v/>
      </c>
      <c r="G13" s="21">
        <f>IF($C13="","",IF(D13=0,IF(E13&gt;0,1,0),E13/D13))</f>
        <v/>
      </c>
      <c r="I13" s="12">
        <f>IFERROR(INDEX($C$12:$C$41,MATCH(LARGE($E$12:$E$41,2),$E$12:$E$41,0)),"")</f>
        <v/>
      </c>
      <c r="J13" s="20">
        <f>IFERROR(LARGE($E$12:$E$41,2),"")</f>
        <v/>
      </c>
    </row>
    <row r="14">
      <c r="C14" s="12">
        <f>IF(Settings!B10="","",Settings!B10)</f>
        <v/>
      </c>
      <c r="D14" s="20">
        <f>IF($C14="","",IFERROR(INDEX('Budget Plan'!$D$23:$O$23,MATCH(Dashboard!$C$3,'Budget Plan'!$D$6:$O$6,0)),0))</f>
        <v/>
      </c>
      <c r="E14" s="20">
        <f>IF($C14="","",SUMIFS(Transactions!$F$7:$F$1006,Transactions!$D$7:$D$1006,"Expense",Transactions!$E$7:$E$1006,$C14,Transactions!$I$7:$I$1006,Dashboard!$C$3))</f>
        <v/>
      </c>
      <c r="F14" s="20">
        <f>IF($C14="","",D14-E14)</f>
        <v/>
      </c>
      <c r="G14" s="21">
        <f>IF($C14="","",IF(D14=0,IF(E14&gt;0,1,0),E14/D14))</f>
        <v/>
      </c>
      <c r="I14" s="12">
        <f>IFERROR(INDEX($C$12:$C$41,MATCH(LARGE($E$12:$E$41,3),$E$12:$E$41,0)),"")</f>
        <v/>
      </c>
      <c r="J14" s="20">
        <f>IFERROR(LARGE($E$12:$E$41,3),"")</f>
        <v/>
      </c>
    </row>
    <row r="15">
      <c r="C15" s="12">
        <f>IF(Settings!B11="","",Settings!B11)</f>
        <v/>
      </c>
      <c r="D15" s="20">
        <f>IF($C15="","",IFERROR(INDEX('Budget Plan'!$D$24:$O$24,MATCH(Dashboard!$C$3,'Budget Plan'!$D$6:$O$6,0)),0))</f>
        <v/>
      </c>
      <c r="E15" s="20">
        <f>IF($C15="","",SUMIFS(Transactions!$F$7:$F$1006,Transactions!$D$7:$D$1006,"Expense",Transactions!$E$7:$E$1006,$C15,Transactions!$I$7:$I$1006,Dashboard!$C$3))</f>
        <v/>
      </c>
      <c r="F15" s="20">
        <f>IF($C15="","",D15-E15)</f>
        <v/>
      </c>
      <c r="G15" s="21">
        <f>IF($C15="","",IF(D15=0,IF(E15&gt;0,1,0),E15/D15))</f>
        <v/>
      </c>
      <c r="I15" s="12">
        <f>IFERROR(INDEX($C$12:$C$41,MATCH(LARGE($E$12:$E$41,4),$E$12:$E$41,0)),"")</f>
        <v/>
      </c>
      <c r="J15" s="20">
        <f>IFERROR(LARGE($E$12:$E$41,4),"")</f>
        <v/>
      </c>
    </row>
    <row r="16">
      <c r="C16" s="12">
        <f>IF(Settings!B12="","",Settings!B12)</f>
        <v/>
      </c>
      <c r="D16" s="20">
        <f>IF($C16="","",IFERROR(INDEX('Budget Plan'!$D$25:$O$25,MATCH(Dashboard!$C$3,'Budget Plan'!$D$6:$O$6,0)),0))</f>
        <v/>
      </c>
      <c r="E16" s="20">
        <f>IF($C16="","",SUMIFS(Transactions!$F$7:$F$1006,Transactions!$D$7:$D$1006,"Expense",Transactions!$E$7:$E$1006,$C16,Transactions!$I$7:$I$1006,Dashboard!$C$3))</f>
        <v/>
      </c>
      <c r="F16" s="20">
        <f>IF($C16="","",D16-E16)</f>
        <v/>
      </c>
      <c r="G16" s="21">
        <f>IF($C16="","",IF(D16=0,IF(E16&gt;0,1,0),E16/D16))</f>
        <v/>
      </c>
      <c r="I16" s="12">
        <f>IFERROR(INDEX($C$12:$C$41,MATCH(LARGE($E$12:$E$41,5),$E$12:$E$41,0)),"")</f>
        <v/>
      </c>
      <c r="J16" s="20">
        <f>IFERROR(LARGE($E$12:$E$41,5),"")</f>
        <v/>
      </c>
    </row>
    <row r="17">
      <c r="C17" s="12">
        <f>IF(Settings!B13="","",Settings!B13)</f>
        <v/>
      </c>
      <c r="D17" s="20">
        <f>IF($C17="","",IFERROR(INDEX('Budget Plan'!$D$26:$O$26,MATCH(Dashboard!$C$3,'Budget Plan'!$D$6:$O$6,0)),0))</f>
        <v/>
      </c>
      <c r="E17" s="20">
        <f>IF($C17="","",SUMIFS(Transactions!$F$7:$F$1006,Transactions!$D$7:$D$1006,"Expense",Transactions!$E$7:$E$1006,$C17,Transactions!$I$7:$I$1006,Dashboard!$C$3))</f>
        <v/>
      </c>
      <c r="F17" s="20">
        <f>IF($C17="","",D17-E17)</f>
        <v/>
      </c>
      <c r="G17" s="21">
        <f>IF($C17="","",IF(D17=0,IF(E17&gt;0,1,0),E17/D17))</f>
        <v/>
      </c>
    </row>
    <row r="18">
      <c r="C18" s="12">
        <f>IF(Settings!B14="","",Settings!B14)</f>
        <v/>
      </c>
      <c r="D18" s="20">
        <f>IF($C18="","",IFERROR(INDEX('Budget Plan'!$D$27:$O$27,MATCH(Dashboard!$C$3,'Budget Plan'!$D$6:$O$6,0)),0))</f>
        <v/>
      </c>
      <c r="E18" s="20">
        <f>IF($C18="","",SUMIFS(Transactions!$F$7:$F$1006,Transactions!$D$7:$D$1006,"Expense",Transactions!$E$7:$E$1006,$C18,Transactions!$I$7:$I$1006,Dashboard!$C$3))</f>
        <v/>
      </c>
      <c r="F18" s="20">
        <f>IF($C18="","",D18-E18)</f>
        <v/>
      </c>
      <c r="G18" s="21">
        <f>IF($C18="","",IF(D18=0,IF(E18&gt;0,1,0),E18/D18))</f>
        <v/>
      </c>
      <c r="I18" s="6" t="inlineStr">
        <is>
          <t>Note: if two categories tie, the first one is shown twice – that's normal for LARGE/MATCH.</t>
        </is>
      </c>
    </row>
    <row r="19">
      <c r="C19" s="12">
        <f>IF(Settings!B15="","",Settings!B15)</f>
        <v/>
      </c>
      <c r="D19" s="20">
        <f>IF($C19="","",IFERROR(INDEX('Budget Plan'!$D$28:$O$28,MATCH(Dashboard!$C$3,'Budget Plan'!$D$6:$O$6,0)),0))</f>
        <v/>
      </c>
      <c r="E19" s="20">
        <f>IF($C19="","",SUMIFS(Transactions!$F$7:$F$1006,Transactions!$D$7:$D$1006,"Expense",Transactions!$E$7:$E$1006,$C19,Transactions!$I$7:$I$1006,Dashboard!$C$3))</f>
        <v/>
      </c>
      <c r="F19" s="20">
        <f>IF($C19="","",D19-E19)</f>
        <v/>
      </c>
      <c r="G19" s="21">
        <f>IF($C19="","",IF(D19=0,IF(E19&gt;0,1,0),E19/D19))</f>
        <v/>
      </c>
    </row>
    <row r="20">
      <c r="C20" s="12">
        <f>IF(Settings!B16="","",Settings!B16)</f>
        <v/>
      </c>
      <c r="D20" s="20">
        <f>IF($C20="","",IFERROR(INDEX('Budget Plan'!$D$29:$O$29,MATCH(Dashboard!$C$3,'Budget Plan'!$D$6:$O$6,0)),0))</f>
        <v/>
      </c>
      <c r="E20" s="20">
        <f>IF($C20="","",SUMIFS(Transactions!$F$7:$F$1006,Transactions!$D$7:$D$1006,"Expense",Transactions!$E$7:$E$1006,$C20,Transactions!$I$7:$I$1006,Dashboard!$C$3))</f>
        <v/>
      </c>
      <c r="F20" s="20">
        <f>IF($C20="","",D20-E20)</f>
        <v/>
      </c>
      <c r="G20" s="21">
        <f>IF($C20="","",IF(D20=0,IF(E20&gt;0,1,0),E20/D20))</f>
        <v/>
      </c>
    </row>
    <row r="21">
      <c r="C21" s="12">
        <f>IF(Settings!B17="","",Settings!B17)</f>
        <v/>
      </c>
      <c r="D21" s="20">
        <f>IF($C21="","",IFERROR(INDEX('Budget Plan'!$D$30:$O$30,MATCH(Dashboard!$C$3,'Budget Plan'!$D$6:$O$6,0)),0))</f>
        <v/>
      </c>
      <c r="E21" s="20">
        <f>IF($C21="","",SUMIFS(Transactions!$F$7:$F$1006,Transactions!$D$7:$D$1006,"Expense",Transactions!$E$7:$E$1006,$C21,Transactions!$I$7:$I$1006,Dashboard!$C$3))</f>
        <v/>
      </c>
      <c r="F21" s="20">
        <f>IF($C21="","",D21-E21)</f>
        <v/>
      </c>
      <c r="G21" s="21">
        <f>IF($C21="","",IF(D21=0,IF(E21&gt;0,1,0),E21/D21))</f>
        <v/>
      </c>
    </row>
    <row r="22">
      <c r="C22" s="12">
        <f>IF(Settings!B18="","",Settings!B18)</f>
        <v/>
      </c>
      <c r="D22" s="20">
        <f>IF($C22="","",IFERROR(INDEX('Budget Plan'!$D$31:$O$31,MATCH(Dashboard!$C$3,'Budget Plan'!$D$6:$O$6,0)),0))</f>
        <v/>
      </c>
      <c r="E22" s="20">
        <f>IF($C22="","",SUMIFS(Transactions!$F$7:$F$1006,Transactions!$D$7:$D$1006,"Expense",Transactions!$E$7:$E$1006,$C22,Transactions!$I$7:$I$1006,Dashboard!$C$3))</f>
        <v/>
      </c>
      <c r="F22" s="20">
        <f>IF($C22="","",D22-E22)</f>
        <v/>
      </c>
      <c r="G22" s="21">
        <f>IF($C22="","",IF(D22=0,IF(E22&gt;0,1,0),E22/D22))</f>
        <v/>
      </c>
    </row>
    <row r="23">
      <c r="C23" s="12">
        <f>IF(Settings!B19="","",Settings!B19)</f>
        <v/>
      </c>
      <c r="D23" s="20">
        <f>IF($C23="","",IFERROR(INDEX('Budget Plan'!$D$32:$O$32,MATCH(Dashboard!$C$3,'Budget Plan'!$D$6:$O$6,0)),0))</f>
        <v/>
      </c>
      <c r="E23" s="20">
        <f>IF($C23="","",SUMIFS(Transactions!$F$7:$F$1006,Transactions!$D$7:$D$1006,"Expense",Transactions!$E$7:$E$1006,$C23,Transactions!$I$7:$I$1006,Dashboard!$C$3))</f>
        <v/>
      </c>
      <c r="F23" s="20">
        <f>IF($C23="","",D23-E23)</f>
        <v/>
      </c>
      <c r="G23" s="21">
        <f>IF($C23="","",IF(D23=0,IF(E23&gt;0,1,0),E23/D23))</f>
        <v/>
      </c>
    </row>
    <row r="24">
      <c r="C24" s="12">
        <f>IF(Settings!B20="","",Settings!B20)</f>
        <v/>
      </c>
      <c r="D24" s="20">
        <f>IF($C24="","",IFERROR(INDEX('Budget Plan'!$D$33:$O$33,MATCH(Dashboard!$C$3,'Budget Plan'!$D$6:$O$6,0)),0))</f>
        <v/>
      </c>
      <c r="E24" s="20">
        <f>IF($C24="","",SUMIFS(Transactions!$F$7:$F$1006,Transactions!$D$7:$D$1006,"Expense",Transactions!$E$7:$E$1006,$C24,Transactions!$I$7:$I$1006,Dashboard!$C$3))</f>
        <v/>
      </c>
      <c r="F24" s="20">
        <f>IF($C24="","",D24-E24)</f>
        <v/>
      </c>
      <c r="G24" s="21">
        <f>IF($C24="","",IF(D24=0,IF(E24&gt;0,1,0),E24/D24))</f>
        <v/>
      </c>
    </row>
    <row r="25">
      <c r="C25" s="12">
        <f>IF(Settings!B21="","",Settings!B21)</f>
        <v/>
      </c>
      <c r="D25" s="20">
        <f>IF($C25="","",IFERROR(INDEX('Budget Plan'!$D$34:$O$34,MATCH(Dashboard!$C$3,'Budget Plan'!$D$6:$O$6,0)),0))</f>
        <v/>
      </c>
      <c r="E25" s="20">
        <f>IF($C25="","",SUMIFS(Transactions!$F$7:$F$1006,Transactions!$D$7:$D$1006,"Expense",Transactions!$E$7:$E$1006,$C25,Transactions!$I$7:$I$1006,Dashboard!$C$3))</f>
        <v/>
      </c>
      <c r="F25" s="20">
        <f>IF($C25="","",D25-E25)</f>
        <v/>
      </c>
      <c r="G25" s="21">
        <f>IF($C25="","",IF(D25=0,IF(E25&gt;0,1,0),E25/D25))</f>
        <v/>
      </c>
    </row>
    <row r="26">
      <c r="C26" s="12">
        <f>IF(Settings!B22="","",Settings!B22)</f>
        <v/>
      </c>
      <c r="D26" s="20">
        <f>IF($C26="","",IFERROR(INDEX('Budget Plan'!$D$35:$O$35,MATCH(Dashboard!$C$3,'Budget Plan'!$D$6:$O$6,0)),0))</f>
        <v/>
      </c>
      <c r="E26" s="20">
        <f>IF($C26="","",SUMIFS(Transactions!$F$7:$F$1006,Transactions!$D$7:$D$1006,"Expense",Transactions!$E$7:$E$1006,$C26,Transactions!$I$7:$I$1006,Dashboard!$C$3))</f>
        <v/>
      </c>
      <c r="F26" s="20">
        <f>IF($C26="","",D26-E26)</f>
        <v/>
      </c>
      <c r="G26" s="21">
        <f>IF($C26="","",IF(D26=0,IF(E26&gt;0,1,0),E26/D26))</f>
        <v/>
      </c>
    </row>
    <row r="27">
      <c r="C27" s="12">
        <f>IF(Settings!B23="","",Settings!B23)</f>
        <v/>
      </c>
      <c r="D27" s="20">
        <f>IF($C27="","",IFERROR(INDEX('Budget Plan'!$D$36:$O$36,MATCH(Dashboard!$C$3,'Budget Plan'!$D$6:$O$6,0)),0))</f>
        <v/>
      </c>
      <c r="E27" s="20">
        <f>IF($C27="","",SUMIFS(Transactions!$F$7:$F$1006,Transactions!$D$7:$D$1006,"Expense",Transactions!$E$7:$E$1006,$C27,Transactions!$I$7:$I$1006,Dashboard!$C$3))</f>
        <v/>
      </c>
      <c r="F27" s="20">
        <f>IF($C27="","",D27-E27)</f>
        <v/>
      </c>
      <c r="G27" s="21">
        <f>IF($C27="","",IF(D27=0,IF(E27&gt;0,1,0),E27/D27))</f>
        <v/>
      </c>
    </row>
    <row r="28">
      <c r="C28" s="12">
        <f>IF(Settings!B24="","",Settings!B24)</f>
        <v/>
      </c>
      <c r="D28" s="20">
        <f>IF($C28="","",IFERROR(INDEX('Budget Plan'!$D$37:$O$37,MATCH(Dashboard!$C$3,'Budget Plan'!$D$6:$O$6,0)),0))</f>
        <v/>
      </c>
      <c r="E28" s="20">
        <f>IF($C28="","",SUMIFS(Transactions!$F$7:$F$1006,Transactions!$D$7:$D$1006,"Expense",Transactions!$E$7:$E$1006,$C28,Transactions!$I$7:$I$1006,Dashboard!$C$3))</f>
        <v/>
      </c>
      <c r="F28" s="20">
        <f>IF($C28="","",D28-E28)</f>
        <v/>
      </c>
      <c r="G28" s="21">
        <f>IF($C28="","",IF(D28=0,IF(E28&gt;0,1,0),E28/D28))</f>
        <v/>
      </c>
    </row>
    <row r="29">
      <c r="C29" s="12">
        <f>IF(Settings!B25="","",Settings!B25)</f>
        <v/>
      </c>
      <c r="D29" s="20">
        <f>IF($C29="","",IFERROR(INDEX('Budget Plan'!$D$38:$O$38,MATCH(Dashboard!$C$3,'Budget Plan'!$D$6:$O$6,0)),0))</f>
        <v/>
      </c>
      <c r="E29" s="20">
        <f>IF($C29="","",SUMIFS(Transactions!$F$7:$F$1006,Transactions!$D$7:$D$1006,"Expense",Transactions!$E$7:$E$1006,$C29,Transactions!$I$7:$I$1006,Dashboard!$C$3))</f>
        <v/>
      </c>
      <c r="F29" s="20">
        <f>IF($C29="","",D29-E29)</f>
        <v/>
      </c>
      <c r="G29" s="21">
        <f>IF($C29="","",IF(D29=0,IF(E29&gt;0,1,0),E29/D29))</f>
        <v/>
      </c>
    </row>
    <row r="30">
      <c r="C30" s="12">
        <f>IF(Settings!B26="","",Settings!B26)</f>
        <v/>
      </c>
      <c r="D30" s="20">
        <f>IF($C30="","",IFERROR(INDEX('Budget Plan'!$D$39:$O$39,MATCH(Dashboard!$C$3,'Budget Plan'!$D$6:$O$6,0)),0))</f>
        <v/>
      </c>
      <c r="E30" s="20">
        <f>IF($C30="","",SUMIFS(Transactions!$F$7:$F$1006,Transactions!$D$7:$D$1006,"Expense",Transactions!$E$7:$E$1006,$C30,Transactions!$I$7:$I$1006,Dashboard!$C$3))</f>
        <v/>
      </c>
      <c r="F30" s="20">
        <f>IF($C30="","",D30-E30)</f>
        <v/>
      </c>
      <c r="G30" s="21">
        <f>IF($C30="","",IF(D30=0,IF(E30&gt;0,1,0),E30/D30))</f>
        <v/>
      </c>
    </row>
    <row r="31">
      <c r="C31" s="12">
        <f>IF(Settings!B27="","",Settings!B27)</f>
        <v/>
      </c>
      <c r="D31" s="20">
        <f>IF($C31="","",IFERROR(INDEX('Budget Plan'!$D$40:$O$40,MATCH(Dashboard!$C$3,'Budget Plan'!$D$6:$O$6,0)),0))</f>
        <v/>
      </c>
      <c r="E31" s="20">
        <f>IF($C31="","",SUMIFS(Transactions!$F$7:$F$1006,Transactions!$D$7:$D$1006,"Expense",Transactions!$E$7:$E$1006,$C31,Transactions!$I$7:$I$1006,Dashboard!$C$3))</f>
        <v/>
      </c>
      <c r="F31" s="20">
        <f>IF($C31="","",D31-E31)</f>
        <v/>
      </c>
      <c r="G31" s="21">
        <f>IF($C31="","",IF(D31=0,IF(E31&gt;0,1,0),E31/D31))</f>
        <v/>
      </c>
    </row>
    <row r="32">
      <c r="C32" s="12">
        <f>IF(Settings!B28="","",Settings!B28)</f>
        <v/>
      </c>
      <c r="D32" s="20">
        <f>IF($C32="","",IFERROR(INDEX('Budget Plan'!$D$41:$O$41,MATCH(Dashboard!$C$3,'Budget Plan'!$D$6:$O$6,0)),0))</f>
        <v/>
      </c>
      <c r="E32" s="20">
        <f>IF($C32="","",SUMIFS(Transactions!$F$7:$F$1006,Transactions!$D$7:$D$1006,"Expense",Transactions!$E$7:$E$1006,$C32,Transactions!$I$7:$I$1006,Dashboard!$C$3))</f>
        <v/>
      </c>
      <c r="F32" s="20">
        <f>IF($C32="","",D32-E32)</f>
        <v/>
      </c>
      <c r="G32" s="21">
        <f>IF($C32="","",IF(D32=0,IF(E32&gt;0,1,0),E32/D32))</f>
        <v/>
      </c>
    </row>
    <row r="33">
      <c r="C33" s="12">
        <f>IF(Settings!B29="","",Settings!B29)</f>
        <v/>
      </c>
      <c r="D33" s="20">
        <f>IF($C33="","",IFERROR(INDEX('Budget Plan'!$D$42:$O$42,MATCH(Dashboard!$C$3,'Budget Plan'!$D$6:$O$6,0)),0))</f>
        <v/>
      </c>
      <c r="E33" s="20">
        <f>IF($C33="","",SUMIFS(Transactions!$F$7:$F$1006,Transactions!$D$7:$D$1006,"Expense",Transactions!$E$7:$E$1006,$C33,Transactions!$I$7:$I$1006,Dashboard!$C$3))</f>
        <v/>
      </c>
      <c r="F33" s="20">
        <f>IF($C33="","",D33-E33)</f>
        <v/>
      </c>
      <c r="G33" s="21">
        <f>IF($C33="","",IF(D33=0,IF(E33&gt;0,1,0),E33/D33))</f>
        <v/>
      </c>
    </row>
    <row r="34">
      <c r="C34" s="12">
        <f>IF(Settings!B30="","",Settings!B30)</f>
        <v/>
      </c>
      <c r="D34" s="20">
        <f>IF($C34="","",IFERROR(INDEX('Budget Plan'!$D$43:$O$43,MATCH(Dashboard!$C$3,'Budget Plan'!$D$6:$O$6,0)),0))</f>
        <v/>
      </c>
      <c r="E34" s="20">
        <f>IF($C34="","",SUMIFS(Transactions!$F$7:$F$1006,Transactions!$D$7:$D$1006,"Expense",Transactions!$E$7:$E$1006,$C34,Transactions!$I$7:$I$1006,Dashboard!$C$3))</f>
        <v/>
      </c>
      <c r="F34" s="20">
        <f>IF($C34="","",D34-E34)</f>
        <v/>
      </c>
      <c r="G34" s="21">
        <f>IF($C34="","",IF(D34=0,IF(E34&gt;0,1,0),E34/D34))</f>
        <v/>
      </c>
    </row>
    <row r="35">
      <c r="C35" s="12">
        <f>IF(Settings!B31="","",Settings!B31)</f>
        <v/>
      </c>
      <c r="D35" s="20">
        <f>IF($C35="","",IFERROR(INDEX('Budget Plan'!$D$44:$O$44,MATCH(Dashboard!$C$3,'Budget Plan'!$D$6:$O$6,0)),0))</f>
        <v/>
      </c>
      <c r="E35" s="20">
        <f>IF($C35="","",SUMIFS(Transactions!$F$7:$F$1006,Transactions!$D$7:$D$1006,"Expense",Transactions!$E$7:$E$1006,$C35,Transactions!$I$7:$I$1006,Dashboard!$C$3))</f>
        <v/>
      </c>
      <c r="F35" s="20">
        <f>IF($C35="","",D35-E35)</f>
        <v/>
      </c>
      <c r="G35" s="21">
        <f>IF($C35="","",IF(D35=0,IF(E35&gt;0,1,0),E35/D35))</f>
        <v/>
      </c>
    </row>
    <row r="36">
      <c r="C36" s="12">
        <f>IF(Settings!B32="","",Settings!B32)</f>
        <v/>
      </c>
      <c r="D36" s="20">
        <f>IF($C36="","",IFERROR(INDEX('Budget Plan'!$D$45:$O$45,MATCH(Dashboard!$C$3,'Budget Plan'!$D$6:$O$6,0)),0))</f>
        <v/>
      </c>
      <c r="E36" s="20">
        <f>IF($C36="","",SUMIFS(Transactions!$F$7:$F$1006,Transactions!$D$7:$D$1006,"Expense",Transactions!$E$7:$E$1006,$C36,Transactions!$I$7:$I$1006,Dashboard!$C$3))</f>
        <v/>
      </c>
      <c r="F36" s="20">
        <f>IF($C36="","",D36-E36)</f>
        <v/>
      </c>
      <c r="G36" s="21">
        <f>IF($C36="","",IF(D36=0,IF(E36&gt;0,1,0),E36/D36))</f>
        <v/>
      </c>
    </row>
    <row r="37">
      <c r="C37" s="12">
        <f>IF(Settings!B33="","",Settings!B33)</f>
        <v/>
      </c>
      <c r="D37" s="20">
        <f>IF($C37="","",IFERROR(INDEX('Budget Plan'!$D$46:$O$46,MATCH(Dashboard!$C$3,'Budget Plan'!$D$6:$O$6,0)),0))</f>
        <v/>
      </c>
      <c r="E37" s="20">
        <f>IF($C37="","",SUMIFS(Transactions!$F$7:$F$1006,Transactions!$D$7:$D$1006,"Expense",Transactions!$E$7:$E$1006,$C37,Transactions!$I$7:$I$1006,Dashboard!$C$3))</f>
        <v/>
      </c>
      <c r="F37" s="20">
        <f>IF($C37="","",D37-E37)</f>
        <v/>
      </c>
      <c r="G37" s="21">
        <f>IF($C37="","",IF(D37=0,IF(E37&gt;0,1,0),E37/D37))</f>
        <v/>
      </c>
    </row>
    <row r="38">
      <c r="C38" s="12">
        <f>IF(Settings!B34="","",Settings!B34)</f>
        <v/>
      </c>
      <c r="D38" s="20">
        <f>IF($C38="","",IFERROR(INDEX('Budget Plan'!$D$47:$O$47,MATCH(Dashboard!$C$3,'Budget Plan'!$D$6:$O$6,0)),0))</f>
        <v/>
      </c>
      <c r="E38" s="20">
        <f>IF($C38="","",SUMIFS(Transactions!$F$7:$F$1006,Transactions!$D$7:$D$1006,"Expense",Transactions!$E$7:$E$1006,$C38,Transactions!$I$7:$I$1006,Dashboard!$C$3))</f>
        <v/>
      </c>
      <c r="F38" s="20">
        <f>IF($C38="","",D38-E38)</f>
        <v/>
      </c>
      <c r="G38" s="21">
        <f>IF($C38="","",IF(D38=0,IF(E38&gt;0,1,0),E38/D38))</f>
        <v/>
      </c>
    </row>
    <row r="39">
      <c r="C39" s="12">
        <f>IF(Settings!B35="","",Settings!B35)</f>
        <v/>
      </c>
      <c r="D39" s="20">
        <f>IF($C39="","",IFERROR(INDEX('Budget Plan'!$D$48:$O$48,MATCH(Dashboard!$C$3,'Budget Plan'!$D$6:$O$6,0)),0))</f>
        <v/>
      </c>
      <c r="E39" s="20">
        <f>IF($C39="","",SUMIFS(Transactions!$F$7:$F$1006,Transactions!$D$7:$D$1006,"Expense",Transactions!$E$7:$E$1006,$C39,Transactions!$I$7:$I$1006,Dashboard!$C$3))</f>
        <v/>
      </c>
      <c r="F39" s="20">
        <f>IF($C39="","",D39-E39)</f>
        <v/>
      </c>
      <c r="G39" s="21">
        <f>IF($C39="","",IF(D39=0,IF(E39&gt;0,1,0),E39/D39))</f>
        <v/>
      </c>
    </row>
    <row r="40">
      <c r="C40" s="12">
        <f>IF(Settings!B36="","",Settings!B36)</f>
        <v/>
      </c>
      <c r="D40" s="20">
        <f>IF($C40="","",IFERROR(INDEX('Budget Plan'!$D$49:$O$49,MATCH(Dashboard!$C$3,'Budget Plan'!$D$6:$O$6,0)),0))</f>
        <v/>
      </c>
      <c r="E40" s="20">
        <f>IF($C40="","",SUMIFS(Transactions!$F$7:$F$1006,Transactions!$D$7:$D$1006,"Expense",Transactions!$E$7:$E$1006,$C40,Transactions!$I$7:$I$1006,Dashboard!$C$3))</f>
        <v/>
      </c>
      <c r="F40" s="20">
        <f>IF($C40="","",D40-E40)</f>
        <v/>
      </c>
      <c r="G40" s="21">
        <f>IF($C40="","",IF(D40=0,IF(E40&gt;0,1,0),E40/D40))</f>
        <v/>
      </c>
    </row>
    <row r="41">
      <c r="C41" s="12">
        <f>IF(Settings!B37="","",Settings!B37)</f>
        <v/>
      </c>
      <c r="D41" s="20">
        <f>IF($C41="","",IFERROR(INDEX('Budget Plan'!$D$50:$O$50,MATCH(Dashboard!$C$3,'Budget Plan'!$D$6:$O$6,0)),0))</f>
        <v/>
      </c>
      <c r="E41" s="20">
        <f>IF($C41="","",SUMIFS(Transactions!$F$7:$F$1006,Transactions!$D$7:$D$1006,"Expense",Transactions!$E$7:$E$1006,$C41,Transactions!$I$7:$I$1006,Dashboard!$C$3))</f>
        <v/>
      </c>
      <c r="F41" s="20">
        <f>IF($C41="","",D41-E41)</f>
        <v/>
      </c>
      <c r="G41" s="21">
        <f>IF($C41="","",IF(D41=0,IF(E41&gt;0,1,0),E41/D41))</f>
        <v/>
      </c>
    </row>
    <row r="42">
      <c r="C42" s="22" t="inlineStr">
        <is>
          <t>Total</t>
        </is>
      </c>
      <c r="D42" s="23">
        <f>SUM(D12:D41)</f>
        <v/>
      </c>
      <c r="E42" s="23">
        <f>SUM(E12:E41)</f>
        <v/>
      </c>
      <c r="F42" s="23">
        <f>SUM(F12:F41)</f>
        <v/>
      </c>
      <c r="G42" s="24">
        <f>IF(D42=0,0,E42/D42)</f>
        <v/>
      </c>
    </row>
  </sheetData>
  <mergeCells count="8">
    <mergeCell ref="C6:D6"/>
    <mergeCell ref="I6:J6"/>
    <mergeCell ref="L6:M6"/>
    <mergeCell ref="F5:G5"/>
    <mergeCell ref="C5:D5"/>
    <mergeCell ref="F6:G6"/>
    <mergeCell ref="I5:J5"/>
    <mergeCell ref="L5:M5"/>
  </mergeCells>
  <conditionalFormatting sqref="I6">
    <cfRule type="cellIs" priority="1" operator="lessThan" dxfId="0">
      <formula>0</formula>
    </cfRule>
  </conditionalFormatting>
  <conditionalFormatting sqref="F9">
    <cfRule type="cellIs" priority="2" operator="greaterThan" dxfId="1">
      <formula>0</formula>
    </cfRule>
  </conditionalFormatting>
  <conditionalFormatting sqref="G12:G41">
    <cfRule type="dataBar" priority="3">
      <dataBar showValue="1">
        <cfvo type="num" val="0"/>
        <cfvo type="num" val="1"/>
        <color rgb="007FA98B"/>
      </dataBar>
    </cfRule>
  </conditionalFormatting>
  <conditionalFormatting sqref="F12:F41">
    <cfRule type="cellIs" priority="4" operator="lessThan" dxfId="2">
      <formula>0</formula>
    </cfRule>
  </conditionalFormatting>
  <dataValidations count="1">
    <dataValidation sqref="C3" showDropDown="0" showInputMessage="0" showErrorMessage="0" allowBlank="0" type="list">
      <formula1>=Settings!$H$8:$H$19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FA98B"/>
    <outlinePr summaryBelow="1" summaryRight="1"/>
    <pageSetUpPr fitToPage="1"/>
  </sheetPr>
  <dimension ref="B2:F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4" customWidth="1" min="5" max="5"/>
    <col width="12" customWidth="1" min="6" max="6"/>
  </cols>
  <sheetData>
    <row r="2">
      <c r="B2" s="7" t="inlineStr">
        <is>
          <t>Monthly Budget</t>
        </is>
      </c>
    </row>
    <row r="3">
      <c r="B3" s="10" t="inlineStr">
        <is>
          <t>Selected month (change it on the Dashboard):</t>
        </is>
      </c>
      <c r="E3" s="25">
        <f>Dashboard!$C$3</f>
        <v/>
      </c>
    </row>
    <row r="5" ht="22" customHeight="1">
      <c r="B5" s="19" t="inlineStr">
        <is>
          <t>Income</t>
        </is>
      </c>
      <c r="C5" s="19" t="inlineStr">
        <is>
          <t>Planned</t>
        </is>
      </c>
      <c r="D5" s="19" t="inlineStr">
        <is>
          <t>Actual</t>
        </is>
      </c>
      <c r="E5" s="19" t="inlineStr">
        <is>
          <t>Difference</t>
        </is>
      </c>
    </row>
    <row r="6">
      <c r="B6" s="12">
        <f>IF(Settings!D8="","",Settings!D8)</f>
        <v/>
      </c>
      <c r="C6" s="20">
        <f>IF($B6="","",IFERROR(INDEX('Budget Plan'!$D$8:$O$8,MATCH(Dashboard!$C$3,'Budget Plan'!$D$6:$O$6,0)),0))</f>
        <v/>
      </c>
      <c r="D6" s="20">
        <f>IF($B6="","",SUMIFS(Transactions!$F$7:$F$1006,Transactions!$D$7:$D$1006,"Income",Transactions!$E$7:$E$1006,$B6,Transactions!$I$7:$I$1006,Dashboard!$C$3))</f>
        <v/>
      </c>
      <c r="E6" s="20">
        <f>IF($B6="","",D6-C6)</f>
        <v/>
      </c>
    </row>
    <row r="7">
      <c r="B7" s="12">
        <f>IF(Settings!D9="","",Settings!D9)</f>
        <v/>
      </c>
      <c r="C7" s="20">
        <f>IF($B7="","",IFERROR(INDEX('Budget Plan'!$D$9:$O$9,MATCH(Dashboard!$C$3,'Budget Plan'!$D$6:$O$6,0)),0))</f>
        <v/>
      </c>
      <c r="D7" s="20">
        <f>IF($B7="","",SUMIFS(Transactions!$F$7:$F$1006,Transactions!$D$7:$D$1006,"Income",Transactions!$E$7:$E$1006,$B7,Transactions!$I$7:$I$1006,Dashboard!$C$3))</f>
        <v/>
      </c>
      <c r="E7" s="20">
        <f>IF($B7="","",D7-C7)</f>
        <v/>
      </c>
    </row>
    <row r="8">
      <c r="B8" s="12">
        <f>IF(Settings!D10="","",Settings!D10)</f>
        <v/>
      </c>
      <c r="C8" s="20">
        <f>IF($B8="","",IFERROR(INDEX('Budget Plan'!$D$10:$O$10,MATCH(Dashboard!$C$3,'Budget Plan'!$D$6:$O$6,0)),0))</f>
        <v/>
      </c>
      <c r="D8" s="20">
        <f>IF($B8="","",SUMIFS(Transactions!$F$7:$F$1006,Transactions!$D$7:$D$1006,"Income",Transactions!$E$7:$E$1006,$B8,Transactions!$I$7:$I$1006,Dashboard!$C$3))</f>
        <v/>
      </c>
      <c r="E8" s="20">
        <f>IF($B8="","",D8-C8)</f>
        <v/>
      </c>
    </row>
    <row r="9">
      <c r="B9" s="12">
        <f>IF(Settings!D11="","",Settings!D11)</f>
        <v/>
      </c>
      <c r="C9" s="20">
        <f>IF($B9="","",IFERROR(INDEX('Budget Plan'!$D$11:$O$11,MATCH(Dashboard!$C$3,'Budget Plan'!$D$6:$O$6,0)),0))</f>
        <v/>
      </c>
      <c r="D9" s="20">
        <f>IF($B9="","",SUMIFS(Transactions!$F$7:$F$1006,Transactions!$D$7:$D$1006,"Income",Transactions!$E$7:$E$1006,$B9,Transactions!$I$7:$I$1006,Dashboard!$C$3))</f>
        <v/>
      </c>
      <c r="E9" s="20">
        <f>IF($B9="","",D9-C9)</f>
        <v/>
      </c>
    </row>
    <row r="10">
      <c r="B10" s="12">
        <f>IF(Settings!D12="","",Settings!D12)</f>
        <v/>
      </c>
      <c r="C10" s="20">
        <f>IF($B10="","",IFERROR(INDEX('Budget Plan'!$D$12:$O$12,MATCH(Dashboard!$C$3,'Budget Plan'!$D$6:$O$6,0)),0))</f>
        <v/>
      </c>
      <c r="D10" s="20">
        <f>IF($B10="","",SUMIFS(Transactions!$F$7:$F$1006,Transactions!$D$7:$D$1006,"Income",Transactions!$E$7:$E$1006,$B10,Transactions!$I$7:$I$1006,Dashboard!$C$3))</f>
        <v/>
      </c>
      <c r="E10" s="20">
        <f>IF($B10="","",D10-C10)</f>
        <v/>
      </c>
    </row>
    <row r="11">
      <c r="B11" s="12">
        <f>IF(Settings!D13="","",Settings!D13)</f>
        <v/>
      </c>
      <c r="C11" s="20">
        <f>IF($B11="","",IFERROR(INDEX('Budget Plan'!$D$13:$O$13,MATCH(Dashboard!$C$3,'Budget Plan'!$D$6:$O$6,0)),0))</f>
        <v/>
      </c>
      <c r="D11" s="20">
        <f>IF($B11="","",SUMIFS(Transactions!$F$7:$F$1006,Transactions!$D$7:$D$1006,"Income",Transactions!$E$7:$E$1006,$B11,Transactions!$I$7:$I$1006,Dashboard!$C$3))</f>
        <v/>
      </c>
      <c r="E11" s="20">
        <f>IF($B11="","",D11-C11)</f>
        <v/>
      </c>
    </row>
    <row r="12">
      <c r="B12" s="12">
        <f>IF(Settings!D14="","",Settings!D14)</f>
        <v/>
      </c>
      <c r="C12" s="20">
        <f>IF($B12="","",IFERROR(INDEX('Budget Plan'!$D$14:$O$14,MATCH(Dashboard!$C$3,'Budget Plan'!$D$6:$O$6,0)),0))</f>
        <v/>
      </c>
      <c r="D12" s="20">
        <f>IF($B12="","",SUMIFS(Transactions!$F$7:$F$1006,Transactions!$D$7:$D$1006,"Income",Transactions!$E$7:$E$1006,$B12,Transactions!$I$7:$I$1006,Dashboard!$C$3))</f>
        <v/>
      </c>
      <c r="E12" s="20">
        <f>IF($B12="","",D12-C12)</f>
        <v/>
      </c>
    </row>
    <row r="13">
      <c r="B13" s="12">
        <f>IF(Settings!D15="","",Settings!D15)</f>
        <v/>
      </c>
      <c r="C13" s="20">
        <f>IF($B13="","",IFERROR(INDEX('Budget Plan'!$D$15:$O$15,MATCH(Dashboard!$C$3,'Budget Plan'!$D$6:$O$6,0)),0))</f>
        <v/>
      </c>
      <c r="D13" s="20">
        <f>IF($B13="","",SUMIFS(Transactions!$F$7:$F$1006,Transactions!$D$7:$D$1006,"Income",Transactions!$E$7:$E$1006,$B13,Transactions!$I$7:$I$1006,Dashboard!$C$3))</f>
        <v/>
      </c>
      <c r="E13" s="20">
        <f>IF($B13="","",D13-C13)</f>
        <v/>
      </c>
    </row>
    <row r="14">
      <c r="B14" s="12">
        <f>IF(Settings!D16="","",Settings!D16)</f>
        <v/>
      </c>
      <c r="C14" s="20">
        <f>IF($B14="","",IFERROR(INDEX('Budget Plan'!$D$16:$O$16,MATCH(Dashboard!$C$3,'Budget Plan'!$D$6:$O$6,0)),0))</f>
        <v/>
      </c>
      <c r="D14" s="20">
        <f>IF($B14="","",SUMIFS(Transactions!$F$7:$F$1006,Transactions!$D$7:$D$1006,"Income",Transactions!$E$7:$E$1006,$B14,Transactions!$I$7:$I$1006,Dashboard!$C$3))</f>
        <v/>
      </c>
      <c r="E14" s="20">
        <f>IF($B14="","",D14-C14)</f>
        <v/>
      </c>
    </row>
    <row r="15">
      <c r="B15" s="12">
        <f>IF(Settings!D17="","",Settings!D17)</f>
        <v/>
      </c>
      <c r="C15" s="20">
        <f>IF($B15="","",IFERROR(INDEX('Budget Plan'!$D$17:$O$17,MATCH(Dashboard!$C$3,'Budget Plan'!$D$6:$O$6,0)),0))</f>
        <v/>
      </c>
      <c r="D15" s="20">
        <f>IF($B15="","",SUMIFS(Transactions!$F$7:$F$1006,Transactions!$D$7:$D$1006,"Income",Transactions!$E$7:$E$1006,$B15,Transactions!$I$7:$I$1006,Dashboard!$C$3))</f>
        <v/>
      </c>
      <c r="E15" s="20">
        <f>IF($B15="","",D15-C15)</f>
        <v/>
      </c>
    </row>
    <row r="16">
      <c r="B16" s="22" t="inlineStr">
        <is>
          <t>Total income</t>
        </is>
      </c>
      <c r="C16" s="23">
        <f>SUM(C6:C15)</f>
        <v/>
      </c>
      <c r="D16" s="23">
        <f>SUM(D6:D15)</f>
        <v/>
      </c>
      <c r="E16" s="23">
        <f>SUM(E6:E15)</f>
        <v/>
      </c>
    </row>
    <row r="18" ht="22" customHeight="1">
      <c r="B18" s="19" t="inlineStr">
        <is>
          <t>Expenses</t>
        </is>
      </c>
      <c r="C18" s="19" t="inlineStr">
        <is>
          <t>Planned</t>
        </is>
      </c>
      <c r="D18" s="19" t="inlineStr">
        <is>
          <t>Actual</t>
        </is>
      </c>
      <c r="E18" s="19" t="inlineStr">
        <is>
          <t>Left to spend</t>
        </is>
      </c>
      <c r="F18" s="19" t="inlineStr">
        <is>
          <t>% used</t>
        </is>
      </c>
    </row>
    <row r="19">
      <c r="B19" s="12">
        <f>Dashboard!C12</f>
        <v/>
      </c>
      <c r="C19" s="20">
        <f>Dashboard!D12</f>
        <v/>
      </c>
      <c r="D19" s="20">
        <f>Dashboard!E12</f>
        <v/>
      </c>
      <c r="E19" s="20">
        <f>Dashboard!F12</f>
        <v/>
      </c>
      <c r="F19" s="21">
        <f>Dashboard!G12</f>
        <v/>
      </c>
    </row>
    <row r="20">
      <c r="B20" s="12">
        <f>Dashboard!C13</f>
        <v/>
      </c>
      <c r="C20" s="20">
        <f>Dashboard!D13</f>
        <v/>
      </c>
      <c r="D20" s="20">
        <f>Dashboard!E13</f>
        <v/>
      </c>
      <c r="E20" s="20">
        <f>Dashboard!F13</f>
        <v/>
      </c>
      <c r="F20" s="21">
        <f>Dashboard!G13</f>
        <v/>
      </c>
    </row>
    <row r="21">
      <c r="B21" s="12">
        <f>Dashboard!C14</f>
        <v/>
      </c>
      <c r="C21" s="20">
        <f>Dashboard!D14</f>
        <v/>
      </c>
      <c r="D21" s="20">
        <f>Dashboard!E14</f>
        <v/>
      </c>
      <c r="E21" s="20">
        <f>Dashboard!F14</f>
        <v/>
      </c>
      <c r="F21" s="21">
        <f>Dashboard!G14</f>
        <v/>
      </c>
    </row>
    <row r="22">
      <c r="B22" s="12">
        <f>Dashboard!C15</f>
        <v/>
      </c>
      <c r="C22" s="20">
        <f>Dashboard!D15</f>
        <v/>
      </c>
      <c r="D22" s="20">
        <f>Dashboard!E15</f>
        <v/>
      </c>
      <c r="E22" s="20">
        <f>Dashboard!F15</f>
        <v/>
      </c>
      <c r="F22" s="21">
        <f>Dashboard!G15</f>
        <v/>
      </c>
    </row>
    <row r="23">
      <c r="B23" s="12">
        <f>Dashboard!C16</f>
        <v/>
      </c>
      <c r="C23" s="20">
        <f>Dashboard!D16</f>
        <v/>
      </c>
      <c r="D23" s="20">
        <f>Dashboard!E16</f>
        <v/>
      </c>
      <c r="E23" s="20">
        <f>Dashboard!F16</f>
        <v/>
      </c>
      <c r="F23" s="21">
        <f>Dashboard!G16</f>
        <v/>
      </c>
    </row>
    <row r="24">
      <c r="B24" s="12">
        <f>Dashboard!C17</f>
        <v/>
      </c>
      <c r="C24" s="20">
        <f>Dashboard!D17</f>
        <v/>
      </c>
      <c r="D24" s="20">
        <f>Dashboard!E17</f>
        <v/>
      </c>
      <c r="E24" s="20">
        <f>Dashboard!F17</f>
        <v/>
      </c>
      <c r="F24" s="21">
        <f>Dashboard!G17</f>
        <v/>
      </c>
    </row>
    <row r="25">
      <c r="B25" s="12">
        <f>Dashboard!C18</f>
        <v/>
      </c>
      <c r="C25" s="20">
        <f>Dashboard!D18</f>
        <v/>
      </c>
      <c r="D25" s="20">
        <f>Dashboard!E18</f>
        <v/>
      </c>
      <c r="E25" s="20">
        <f>Dashboard!F18</f>
        <v/>
      </c>
      <c r="F25" s="21">
        <f>Dashboard!G18</f>
        <v/>
      </c>
    </row>
    <row r="26">
      <c r="B26" s="12">
        <f>Dashboard!C19</f>
        <v/>
      </c>
      <c r="C26" s="20">
        <f>Dashboard!D19</f>
        <v/>
      </c>
      <c r="D26" s="20">
        <f>Dashboard!E19</f>
        <v/>
      </c>
      <c r="E26" s="20">
        <f>Dashboard!F19</f>
        <v/>
      </c>
      <c r="F26" s="21">
        <f>Dashboard!G19</f>
        <v/>
      </c>
    </row>
    <row r="27">
      <c r="B27" s="12">
        <f>Dashboard!C20</f>
        <v/>
      </c>
      <c r="C27" s="20">
        <f>Dashboard!D20</f>
        <v/>
      </c>
      <c r="D27" s="20">
        <f>Dashboard!E20</f>
        <v/>
      </c>
      <c r="E27" s="20">
        <f>Dashboard!F20</f>
        <v/>
      </c>
      <c r="F27" s="21">
        <f>Dashboard!G20</f>
        <v/>
      </c>
    </row>
    <row r="28">
      <c r="B28" s="12">
        <f>Dashboard!C21</f>
        <v/>
      </c>
      <c r="C28" s="20">
        <f>Dashboard!D21</f>
        <v/>
      </c>
      <c r="D28" s="20">
        <f>Dashboard!E21</f>
        <v/>
      </c>
      <c r="E28" s="20">
        <f>Dashboard!F21</f>
        <v/>
      </c>
      <c r="F28" s="21">
        <f>Dashboard!G21</f>
        <v/>
      </c>
    </row>
    <row r="29">
      <c r="B29" s="12">
        <f>Dashboard!C22</f>
        <v/>
      </c>
      <c r="C29" s="20">
        <f>Dashboard!D22</f>
        <v/>
      </c>
      <c r="D29" s="20">
        <f>Dashboard!E22</f>
        <v/>
      </c>
      <c r="E29" s="20">
        <f>Dashboard!F22</f>
        <v/>
      </c>
      <c r="F29" s="21">
        <f>Dashboard!G22</f>
        <v/>
      </c>
    </row>
    <row r="30">
      <c r="B30" s="12">
        <f>Dashboard!C23</f>
        <v/>
      </c>
      <c r="C30" s="20">
        <f>Dashboard!D23</f>
        <v/>
      </c>
      <c r="D30" s="20">
        <f>Dashboard!E23</f>
        <v/>
      </c>
      <c r="E30" s="20">
        <f>Dashboard!F23</f>
        <v/>
      </c>
      <c r="F30" s="21">
        <f>Dashboard!G23</f>
        <v/>
      </c>
    </row>
    <row r="31">
      <c r="B31" s="12">
        <f>Dashboard!C24</f>
        <v/>
      </c>
      <c r="C31" s="20">
        <f>Dashboard!D24</f>
        <v/>
      </c>
      <c r="D31" s="20">
        <f>Dashboard!E24</f>
        <v/>
      </c>
      <c r="E31" s="20">
        <f>Dashboard!F24</f>
        <v/>
      </c>
      <c r="F31" s="21">
        <f>Dashboard!G24</f>
        <v/>
      </c>
    </row>
    <row r="32">
      <c r="B32" s="12">
        <f>Dashboard!C25</f>
        <v/>
      </c>
      <c r="C32" s="20">
        <f>Dashboard!D25</f>
        <v/>
      </c>
      <c r="D32" s="20">
        <f>Dashboard!E25</f>
        <v/>
      </c>
      <c r="E32" s="20">
        <f>Dashboard!F25</f>
        <v/>
      </c>
      <c r="F32" s="21">
        <f>Dashboard!G25</f>
        <v/>
      </c>
    </row>
    <row r="33">
      <c r="B33" s="12">
        <f>Dashboard!C26</f>
        <v/>
      </c>
      <c r="C33" s="20">
        <f>Dashboard!D26</f>
        <v/>
      </c>
      <c r="D33" s="20">
        <f>Dashboard!E26</f>
        <v/>
      </c>
      <c r="E33" s="20">
        <f>Dashboard!F26</f>
        <v/>
      </c>
      <c r="F33" s="21">
        <f>Dashboard!G26</f>
        <v/>
      </c>
    </row>
    <row r="34">
      <c r="B34" s="12">
        <f>Dashboard!C27</f>
        <v/>
      </c>
      <c r="C34" s="20">
        <f>Dashboard!D27</f>
        <v/>
      </c>
      <c r="D34" s="20">
        <f>Dashboard!E27</f>
        <v/>
      </c>
      <c r="E34" s="20">
        <f>Dashboard!F27</f>
        <v/>
      </c>
      <c r="F34" s="21">
        <f>Dashboard!G27</f>
        <v/>
      </c>
    </row>
    <row r="35">
      <c r="B35" s="12">
        <f>Dashboard!C28</f>
        <v/>
      </c>
      <c r="C35" s="20">
        <f>Dashboard!D28</f>
        <v/>
      </c>
      <c r="D35" s="20">
        <f>Dashboard!E28</f>
        <v/>
      </c>
      <c r="E35" s="20">
        <f>Dashboard!F28</f>
        <v/>
      </c>
      <c r="F35" s="21">
        <f>Dashboard!G28</f>
        <v/>
      </c>
    </row>
    <row r="36">
      <c r="B36" s="12">
        <f>Dashboard!C29</f>
        <v/>
      </c>
      <c r="C36" s="20">
        <f>Dashboard!D29</f>
        <v/>
      </c>
      <c r="D36" s="20">
        <f>Dashboard!E29</f>
        <v/>
      </c>
      <c r="E36" s="20">
        <f>Dashboard!F29</f>
        <v/>
      </c>
      <c r="F36" s="21">
        <f>Dashboard!G29</f>
        <v/>
      </c>
    </row>
    <row r="37">
      <c r="B37" s="12">
        <f>Dashboard!C30</f>
        <v/>
      </c>
      <c r="C37" s="20">
        <f>Dashboard!D30</f>
        <v/>
      </c>
      <c r="D37" s="20">
        <f>Dashboard!E30</f>
        <v/>
      </c>
      <c r="E37" s="20">
        <f>Dashboard!F30</f>
        <v/>
      </c>
      <c r="F37" s="21">
        <f>Dashboard!G30</f>
        <v/>
      </c>
    </row>
    <row r="38">
      <c r="B38" s="12">
        <f>Dashboard!C31</f>
        <v/>
      </c>
      <c r="C38" s="20">
        <f>Dashboard!D31</f>
        <v/>
      </c>
      <c r="D38" s="20">
        <f>Dashboard!E31</f>
        <v/>
      </c>
      <c r="E38" s="20">
        <f>Dashboard!F31</f>
        <v/>
      </c>
      <c r="F38" s="21">
        <f>Dashboard!G31</f>
        <v/>
      </c>
    </row>
    <row r="39">
      <c r="B39" s="12">
        <f>Dashboard!C32</f>
        <v/>
      </c>
      <c r="C39" s="20">
        <f>Dashboard!D32</f>
        <v/>
      </c>
      <c r="D39" s="20">
        <f>Dashboard!E32</f>
        <v/>
      </c>
      <c r="E39" s="20">
        <f>Dashboard!F32</f>
        <v/>
      </c>
      <c r="F39" s="21">
        <f>Dashboard!G32</f>
        <v/>
      </c>
    </row>
    <row r="40">
      <c r="B40" s="12">
        <f>Dashboard!C33</f>
        <v/>
      </c>
      <c r="C40" s="20">
        <f>Dashboard!D33</f>
        <v/>
      </c>
      <c r="D40" s="20">
        <f>Dashboard!E33</f>
        <v/>
      </c>
      <c r="E40" s="20">
        <f>Dashboard!F33</f>
        <v/>
      </c>
      <c r="F40" s="21">
        <f>Dashboard!G33</f>
        <v/>
      </c>
    </row>
    <row r="41">
      <c r="B41" s="12">
        <f>Dashboard!C34</f>
        <v/>
      </c>
      <c r="C41" s="20">
        <f>Dashboard!D34</f>
        <v/>
      </c>
      <c r="D41" s="20">
        <f>Dashboard!E34</f>
        <v/>
      </c>
      <c r="E41" s="20">
        <f>Dashboard!F34</f>
        <v/>
      </c>
      <c r="F41" s="21">
        <f>Dashboard!G34</f>
        <v/>
      </c>
    </row>
    <row r="42">
      <c r="B42" s="12">
        <f>Dashboard!C35</f>
        <v/>
      </c>
      <c r="C42" s="20">
        <f>Dashboard!D35</f>
        <v/>
      </c>
      <c r="D42" s="20">
        <f>Dashboard!E35</f>
        <v/>
      </c>
      <c r="E42" s="20">
        <f>Dashboard!F35</f>
        <v/>
      </c>
      <c r="F42" s="21">
        <f>Dashboard!G35</f>
        <v/>
      </c>
    </row>
    <row r="43">
      <c r="B43" s="12">
        <f>Dashboard!C36</f>
        <v/>
      </c>
      <c r="C43" s="20">
        <f>Dashboard!D36</f>
        <v/>
      </c>
      <c r="D43" s="20">
        <f>Dashboard!E36</f>
        <v/>
      </c>
      <c r="E43" s="20">
        <f>Dashboard!F36</f>
        <v/>
      </c>
      <c r="F43" s="21">
        <f>Dashboard!G36</f>
        <v/>
      </c>
    </row>
    <row r="44">
      <c r="B44" s="12">
        <f>Dashboard!C37</f>
        <v/>
      </c>
      <c r="C44" s="20">
        <f>Dashboard!D37</f>
        <v/>
      </c>
      <c r="D44" s="20">
        <f>Dashboard!E37</f>
        <v/>
      </c>
      <c r="E44" s="20">
        <f>Dashboard!F37</f>
        <v/>
      </c>
      <c r="F44" s="21">
        <f>Dashboard!G37</f>
        <v/>
      </c>
    </row>
    <row r="45">
      <c r="B45" s="12">
        <f>Dashboard!C38</f>
        <v/>
      </c>
      <c r="C45" s="20">
        <f>Dashboard!D38</f>
        <v/>
      </c>
      <c r="D45" s="20">
        <f>Dashboard!E38</f>
        <v/>
      </c>
      <c r="E45" s="20">
        <f>Dashboard!F38</f>
        <v/>
      </c>
      <c r="F45" s="21">
        <f>Dashboard!G38</f>
        <v/>
      </c>
    </row>
    <row r="46">
      <c r="B46" s="12">
        <f>Dashboard!C39</f>
        <v/>
      </c>
      <c r="C46" s="20">
        <f>Dashboard!D39</f>
        <v/>
      </c>
      <c r="D46" s="20">
        <f>Dashboard!E39</f>
        <v/>
      </c>
      <c r="E46" s="20">
        <f>Dashboard!F39</f>
        <v/>
      </c>
      <c r="F46" s="21">
        <f>Dashboard!G39</f>
        <v/>
      </c>
    </row>
    <row r="47">
      <c r="B47" s="12">
        <f>Dashboard!C40</f>
        <v/>
      </c>
      <c r="C47" s="20">
        <f>Dashboard!D40</f>
        <v/>
      </c>
      <c r="D47" s="20">
        <f>Dashboard!E40</f>
        <v/>
      </c>
      <c r="E47" s="20">
        <f>Dashboard!F40</f>
        <v/>
      </c>
      <c r="F47" s="21">
        <f>Dashboard!G40</f>
        <v/>
      </c>
    </row>
    <row r="48">
      <c r="B48" s="12">
        <f>Dashboard!C41</f>
        <v/>
      </c>
      <c r="C48" s="20">
        <f>Dashboard!D41</f>
        <v/>
      </c>
      <c r="D48" s="20">
        <f>Dashboard!E41</f>
        <v/>
      </c>
      <c r="E48" s="20">
        <f>Dashboard!F41</f>
        <v/>
      </c>
      <c r="F48" s="21">
        <f>Dashboard!G41</f>
        <v/>
      </c>
    </row>
    <row r="49">
      <c r="B49" s="22" t="inlineStr">
        <is>
          <t>Total expenses</t>
        </is>
      </c>
      <c r="C49" s="23">
        <f>SUM(C19:C48)</f>
        <v/>
      </c>
      <c r="D49" s="23">
        <f>SUM(D19:D48)</f>
        <v/>
      </c>
      <c r="E49" s="23">
        <f>SUM(E19:E48)</f>
        <v/>
      </c>
      <c r="F49" s="24">
        <f>IF(C49=0,0,D49/C49)</f>
        <v/>
      </c>
    </row>
    <row r="51">
      <c r="B51" s="26" t="inlineStr">
        <is>
          <t>Left over (actual)</t>
        </is>
      </c>
      <c r="D51" s="16">
        <f>D16-D49</f>
        <v/>
      </c>
    </row>
    <row r="52">
      <c r="B52" s="27" t="inlineStr">
        <is>
          <t>Left over (planned)</t>
        </is>
      </c>
      <c r="D52" s="28">
        <f>C16-C49</f>
        <v/>
      </c>
    </row>
  </sheetData>
  <conditionalFormatting sqref="F19:F48">
    <cfRule type="dataBar" priority="1">
      <dataBar showValue="1">
        <cfvo type="num" val="0"/>
        <cfvo type="num" val="1"/>
        <color rgb="007FA98B"/>
      </dataBar>
    </cfRule>
  </conditionalFormatting>
  <conditionalFormatting sqref="E19:E48">
    <cfRule type="cellIs" priority="2" operator="lessThan" dxfId="2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B6B6B"/>
    <outlinePr summaryBelow="1" summaryRight="1"/>
    <pageSetUpPr fitToPage="1"/>
  </sheetPr>
  <dimension ref="B2:J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" customWidth="1" min="3" max="3"/>
    <col width="22" customWidth="1" min="4" max="4"/>
    <col width="3" customWidth="1" min="5" max="5"/>
    <col width="18" customWidth="1" min="6" max="6"/>
    <col width="3" customWidth="1" min="7" max="7"/>
    <col width="18" customWidth="1" min="8" max="8"/>
    <col width="20" customWidth="1" min="10" max="10"/>
  </cols>
  <sheetData>
    <row r="2">
      <c r="B2" s="7" t="inlineStr">
        <is>
          <t>Settings</t>
        </is>
      </c>
    </row>
    <row r="3">
      <c r="B3" s="10" t="inlineStr">
        <is>
          <t>Edit these lists once. Every dropdown in the workbook updates automatically.</t>
        </is>
      </c>
    </row>
    <row r="5">
      <c r="B5" s="29" t="inlineStr">
        <is>
          <t>Budget year</t>
        </is>
      </c>
      <c r="C5" s="30" t="n">
        <v>2026</v>
      </c>
      <c r="D5" s="10" t="inlineStr">
        <is>
          <t>← change the year and every month in the workbook follows</t>
        </is>
      </c>
    </row>
    <row r="7" ht="22" customHeight="1">
      <c r="B7" s="19" t="inlineStr">
        <is>
          <t>Expense categories</t>
        </is>
      </c>
      <c r="D7" s="19" t="inlineStr">
        <is>
          <t>Income categories</t>
        </is>
      </c>
      <c r="F7" s="19" t="inlineStr">
        <is>
          <t>Accounts</t>
        </is>
      </c>
      <c r="H7" s="19" t="inlineStr">
        <is>
          <t>Months (auto)</t>
        </is>
      </c>
      <c r="J7" s="31" t="inlineStr">
        <is>
          <t>All categories (auto)</t>
        </is>
      </c>
    </row>
    <row r="8">
      <c r="B8" s="32" t="inlineStr">
        <is>
          <t>Housing</t>
        </is>
      </c>
      <c r="D8" s="32" t="inlineStr">
        <is>
          <t>Salary</t>
        </is>
      </c>
      <c r="F8" s="32" t="inlineStr">
        <is>
          <t>Checking</t>
        </is>
      </c>
      <c r="H8" s="33">
        <f>DATE($C$5,1,1)</f>
        <v/>
      </c>
      <c r="J8" s="34">
        <f>IF(B8="","",B8)</f>
        <v/>
      </c>
    </row>
    <row r="9">
      <c r="B9" s="32" t="inlineStr">
        <is>
          <t>Utilities</t>
        </is>
      </c>
      <c r="D9" s="32" t="inlineStr">
        <is>
          <t>Partner salary</t>
        </is>
      </c>
      <c r="F9" s="32" t="inlineStr">
        <is>
          <t>Savings</t>
        </is>
      </c>
      <c r="H9" s="33">
        <f>DATE($C$5,2,1)</f>
        <v/>
      </c>
      <c r="J9" s="34">
        <f>IF(B9="","",B9)</f>
        <v/>
      </c>
    </row>
    <row r="10">
      <c r="B10" s="32" t="inlineStr">
        <is>
          <t>Groceries</t>
        </is>
      </c>
      <c r="D10" s="32" t="inlineStr">
        <is>
          <t>Side income</t>
        </is>
      </c>
      <c r="F10" s="32" t="inlineStr">
        <is>
          <t>Credit card</t>
        </is>
      </c>
      <c r="H10" s="33">
        <f>DATE($C$5,3,1)</f>
        <v/>
      </c>
      <c r="J10" s="34">
        <f>IF(B10="","",B10)</f>
        <v/>
      </c>
    </row>
    <row r="11">
      <c r="B11" s="32" t="inlineStr">
        <is>
          <t>Eating out</t>
        </is>
      </c>
      <c r="D11" s="32" t="inlineStr">
        <is>
          <t>Refunds</t>
        </is>
      </c>
      <c r="F11" s="32" t="inlineStr">
        <is>
          <t>Cash</t>
        </is>
      </c>
      <c r="H11" s="33">
        <f>DATE($C$5,4,1)</f>
        <v/>
      </c>
      <c r="J11" s="34">
        <f>IF(B11="","",B11)</f>
        <v/>
      </c>
    </row>
    <row r="12">
      <c r="B12" s="32" t="inlineStr">
        <is>
          <t>Transport</t>
        </is>
      </c>
      <c r="D12" s="32" t="inlineStr">
        <is>
          <t>Other income</t>
        </is>
      </c>
      <c r="F12" s="32" t="n"/>
      <c r="H12" s="33">
        <f>DATE($C$5,5,1)</f>
        <v/>
      </c>
      <c r="J12" s="34">
        <f>IF(B12="","",B12)</f>
        <v/>
      </c>
    </row>
    <row r="13">
      <c r="B13" s="32" t="inlineStr">
        <is>
          <t>Insurance</t>
        </is>
      </c>
      <c r="D13" s="32" t="n"/>
      <c r="F13" s="32" t="n"/>
      <c r="H13" s="33">
        <f>DATE($C$5,6,1)</f>
        <v/>
      </c>
      <c r="J13" s="34">
        <f>IF(B13="","",B13)</f>
        <v/>
      </c>
    </row>
    <row r="14">
      <c r="B14" s="32" t="inlineStr">
        <is>
          <t>Health</t>
        </is>
      </c>
      <c r="D14" s="32" t="n"/>
      <c r="F14" s="32" t="n"/>
      <c r="H14" s="33">
        <f>DATE($C$5,7,1)</f>
        <v/>
      </c>
      <c r="J14" s="34">
        <f>IF(B14="","",B14)</f>
        <v/>
      </c>
    </row>
    <row r="15">
      <c r="B15" s="32" t="inlineStr">
        <is>
          <t>Subscriptions</t>
        </is>
      </c>
      <c r="D15" s="32" t="n"/>
      <c r="F15" s="32" t="n"/>
      <c r="H15" s="33">
        <f>DATE($C$5,8,1)</f>
        <v/>
      </c>
      <c r="J15" s="34">
        <f>IF(B15="","",B15)</f>
        <v/>
      </c>
    </row>
    <row r="16">
      <c r="B16" s="32" t="inlineStr">
        <is>
          <t>Phone &amp; internet</t>
        </is>
      </c>
      <c r="D16" s="32" t="n"/>
      <c r="F16" s="32" t="n"/>
      <c r="H16" s="33">
        <f>DATE($C$5,9,1)</f>
        <v/>
      </c>
      <c r="J16" s="34">
        <f>IF(B16="","",B16)</f>
        <v/>
      </c>
    </row>
    <row r="17">
      <c r="B17" s="32" t="inlineStr">
        <is>
          <t>Shopping</t>
        </is>
      </c>
      <c r="D17" s="32" t="n"/>
      <c r="F17" s="32" t="n"/>
      <c r="H17" s="33">
        <f>DATE($C$5,10,1)</f>
        <v/>
      </c>
      <c r="J17" s="34">
        <f>IF(B17="","",B17)</f>
        <v/>
      </c>
    </row>
    <row r="18">
      <c r="B18" s="32" t="inlineStr">
        <is>
          <t>Personal care</t>
        </is>
      </c>
      <c r="D18" s="32" t="n"/>
      <c r="F18" s="32" t="n"/>
      <c r="H18" s="33">
        <f>DATE($C$5,11,1)</f>
        <v/>
      </c>
      <c r="J18" s="34">
        <f>IF(B18="","",B18)</f>
        <v/>
      </c>
    </row>
    <row r="19">
      <c r="B19" s="32" t="inlineStr">
        <is>
          <t>Kids &amp; family</t>
        </is>
      </c>
      <c r="D19" s="32" t="n"/>
      <c r="F19" s="32" t="n"/>
      <c r="H19" s="33">
        <f>DATE($C$5,12,1)</f>
        <v/>
      </c>
      <c r="J19" s="34">
        <f>IF(B19="","",B19)</f>
        <v/>
      </c>
    </row>
    <row r="20">
      <c r="B20" s="32" t="inlineStr">
        <is>
          <t>Pets</t>
        </is>
      </c>
      <c r="D20" s="32" t="n"/>
      <c r="F20" s="32" t="n"/>
      <c r="J20" s="34">
        <f>IF(B20="","",B20)</f>
        <v/>
      </c>
    </row>
    <row r="21">
      <c r="B21" s="32" t="inlineStr">
        <is>
          <t>Gifts &amp; giving</t>
        </is>
      </c>
      <c r="D21" s="32" t="n"/>
      <c r="F21" s="32" t="n"/>
      <c r="J21" s="34">
        <f>IF(B21="","",B21)</f>
        <v/>
      </c>
    </row>
    <row r="22">
      <c r="B22" s="32" t="inlineStr">
        <is>
          <t>Fun &amp; hobbies</t>
        </is>
      </c>
      <c r="D22" s="32" t="n"/>
      <c r="F22" s="32" t="n"/>
      <c r="J22" s="34">
        <f>IF(B22="","",B22)</f>
        <v/>
      </c>
    </row>
    <row r="23">
      <c r="B23" s="32" t="inlineStr">
        <is>
          <t>Travel</t>
        </is>
      </c>
      <c r="D23" s="32" t="n"/>
      <c r="F23" s="32" t="n"/>
      <c r="J23" s="34">
        <f>IF(B23="","",B23)</f>
        <v/>
      </c>
    </row>
    <row r="24">
      <c r="B24" s="32" t="inlineStr">
        <is>
          <t>Education</t>
        </is>
      </c>
      <c r="D24" s="32" t="n"/>
      <c r="F24" s="32" t="n"/>
      <c r="J24" s="34">
        <f>IF(B24="","",B24)</f>
        <v/>
      </c>
    </row>
    <row r="25">
      <c r="B25" s="32" t="inlineStr">
        <is>
          <t>Debt payments</t>
        </is>
      </c>
      <c r="D25" s="32" t="n"/>
      <c r="F25" s="32" t="n"/>
      <c r="J25" s="34">
        <f>IF(B25="","",B25)</f>
        <v/>
      </c>
    </row>
    <row r="26">
      <c r="B26" s="32" t="inlineStr">
        <is>
          <t>Savings transfers</t>
        </is>
      </c>
      <c r="D26" s="32" t="n"/>
      <c r="F26" s="32" t="n"/>
      <c r="J26" s="34">
        <f>IF(B26="","",B26)</f>
        <v/>
      </c>
    </row>
    <row r="27">
      <c r="B27" s="32" t="inlineStr">
        <is>
          <t>Other</t>
        </is>
      </c>
      <c r="D27" s="32" t="n"/>
      <c r="F27" s="32" t="n"/>
      <c r="J27" s="34">
        <f>IF(B27="","",B27)</f>
        <v/>
      </c>
    </row>
    <row r="28">
      <c r="B28" s="32" t="n"/>
      <c r="D28" s="32" t="n"/>
      <c r="F28" s="32" t="n"/>
      <c r="J28" s="34">
        <f>IF(B28="","",B28)</f>
        <v/>
      </c>
    </row>
    <row r="29">
      <c r="B29" s="32" t="n"/>
      <c r="D29" s="32" t="n"/>
      <c r="F29" s="32" t="n"/>
      <c r="J29" s="34">
        <f>IF(B29="","",B29)</f>
        <v/>
      </c>
    </row>
    <row r="30">
      <c r="B30" s="32" t="n"/>
      <c r="D30" s="32" t="n"/>
      <c r="F30" s="32" t="n"/>
      <c r="J30" s="34">
        <f>IF(B30="","",B30)</f>
        <v/>
      </c>
    </row>
    <row r="31">
      <c r="B31" s="32" t="n"/>
      <c r="D31" s="32" t="n"/>
      <c r="F31" s="32" t="n"/>
      <c r="J31" s="34">
        <f>IF(B31="","",B31)</f>
        <v/>
      </c>
    </row>
    <row r="32">
      <c r="B32" s="32" t="n"/>
      <c r="D32" s="32" t="n"/>
      <c r="F32" s="32" t="n"/>
      <c r="J32" s="34">
        <f>IF(B32="","",B32)</f>
        <v/>
      </c>
    </row>
    <row r="33">
      <c r="B33" s="32" t="n"/>
      <c r="D33" s="32" t="n"/>
      <c r="F33" s="32" t="n"/>
      <c r="J33" s="34">
        <f>IF(B33="","",B33)</f>
        <v/>
      </c>
    </row>
    <row r="34">
      <c r="B34" s="32" t="n"/>
      <c r="D34" s="32" t="n"/>
      <c r="F34" s="32" t="n"/>
      <c r="J34" s="34">
        <f>IF(B34="","",B34)</f>
        <v/>
      </c>
    </row>
    <row r="35">
      <c r="B35" s="32" t="n"/>
      <c r="D35" s="32" t="n"/>
      <c r="F35" s="32" t="n"/>
      <c r="J35" s="34">
        <f>IF(B35="","",B35)</f>
        <v/>
      </c>
    </row>
    <row r="36">
      <c r="B36" s="32" t="n"/>
      <c r="D36" s="32" t="n"/>
      <c r="F36" s="32" t="n"/>
      <c r="J36" s="34">
        <f>IF(B36="","",B36)</f>
        <v/>
      </c>
    </row>
    <row r="37">
      <c r="B37" s="32" t="n"/>
      <c r="D37" s="32" t="n"/>
      <c r="F37" s="32" t="n"/>
      <c r="J37" s="34">
        <f>IF(B37="","",B37)</f>
        <v/>
      </c>
    </row>
    <row r="38">
      <c r="J38" s="34">
        <f>IF(D8="","",D8)</f>
        <v/>
      </c>
    </row>
    <row r="39">
      <c r="J39" s="34">
        <f>IF(D9="","",D9)</f>
        <v/>
      </c>
    </row>
    <row r="40">
      <c r="B40" s="10" t="inlineStr">
        <is>
          <t>Tip: keep category names short. If you rename a category, also update it in Transactions and Budget Plan (Find &amp; Replace).</t>
        </is>
      </c>
      <c r="J40" s="34">
        <f>IF(D10="","",D10)</f>
        <v/>
      </c>
    </row>
    <row r="41">
      <c r="J41" s="34">
        <f>IF(D11="","",D11)</f>
        <v/>
      </c>
    </row>
    <row r="42">
      <c r="J42" s="34">
        <f>IF(D12="","",D12)</f>
        <v/>
      </c>
    </row>
    <row r="43">
      <c r="J43" s="34">
        <f>IF(D13="","",D13)</f>
        <v/>
      </c>
    </row>
    <row r="44">
      <c r="J44" s="34">
        <f>IF(D14="","",D14)</f>
        <v/>
      </c>
    </row>
    <row r="45">
      <c r="J45" s="34">
        <f>IF(D15="","",D15)</f>
        <v/>
      </c>
    </row>
    <row r="46">
      <c r="J46" s="34">
        <f>IF(D16="","",D16)</f>
        <v/>
      </c>
    </row>
    <row r="47">
      <c r="J47" s="34">
        <f>IF(D17="","",D17)</f>
        <v/>
      </c>
    </row>
    <row r="48">
      <c r="J48" s="34">
        <f>IF(D18="","",D18)</f>
        <v/>
      </c>
    </row>
    <row r="49">
      <c r="J49" s="34">
        <f>IF(D19="","",D19)</f>
        <v/>
      </c>
    </row>
    <row r="50">
      <c r="J50" s="34">
        <f>IF(D20="","",D20)</f>
        <v/>
      </c>
    </row>
    <row r="51">
      <c r="J51" s="34">
        <f>IF(D21="","",D21)</f>
        <v/>
      </c>
    </row>
    <row r="52">
      <c r="J52" s="34">
        <f>IF(D22="","",D22)</f>
        <v/>
      </c>
    </row>
    <row r="53">
      <c r="J53" s="34">
        <f>IF(D23="","",D23)</f>
        <v/>
      </c>
    </row>
    <row r="54">
      <c r="J54" s="34">
        <f>IF(D24="","",D24)</f>
        <v/>
      </c>
    </row>
    <row r="55">
      <c r="J55" s="34">
        <f>IF(D25="","",D25)</f>
        <v/>
      </c>
    </row>
    <row r="56">
      <c r="J56" s="34">
        <f>IF(D26="","",D26)</f>
        <v/>
      </c>
    </row>
    <row r="57">
      <c r="J57" s="34">
        <f>IF(D27="","",D27)</f>
        <v/>
      </c>
    </row>
    <row r="58">
      <c r="J58" s="34">
        <f>IF(D28="","",D28)</f>
        <v/>
      </c>
    </row>
    <row r="59">
      <c r="J59" s="34">
        <f>IF(D29="","",D29)</f>
        <v/>
      </c>
    </row>
    <row r="60">
      <c r="J60" s="34">
        <f>IF(D30="","",D30)</f>
        <v/>
      </c>
    </row>
    <row r="61">
      <c r="J61" s="34">
        <f>IF(D31="","",D31)</f>
        <v/>
      </c>
    </row>
    <row r="62">
      <c r="J62" s="34">
        <f>IF(D32="","",D32)</f>
        <v/>
      </c>
    </row>
    <row r="63">
      <c r="J63" s="34">
        <f>IF(D33="","",D33)</f>
        <v/>
      </c>
    </row>
    <row r="64">
      <c r="J64" s="34">
        <f>IF(D34="","",D34)</f>
        <v/>
      </c>
    </row>
    <row r="65">
      <c r="J65" s="34">
        <f>IF(D35="","",D35)</f>
        <v/>
      </c>
    </row>
    <row r="66">
      <c r="J66" s="34">
        <f>IF(D36="","",D36)</f>
        <v/>
      </c>
    </row>
    <row r="67">
      <c r="J67" s="34">
        <f>IF(D37="","",D37)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3B23C"/>
    <outlinePr summaryBelow="1" summaryRight="1"/>
    <pageSetUpPr fitToPage="1"/>
  </sheetPr>
  <dimension ref="B2:I1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30" customWidth="1" min="3" max="3"/>
    <col width="11" customWidth="1" min="4" max="4"/>
    <col width="20" customWidth="1" min="5" max="5"/>
    <col width="13" customWidth="1" min="6" max="6"/>
    <col width="14" customWidth="1" min="7" max="7"/>
    <col width="26" customWidth="1" min="8" max="8"/>
    <col width="15" customWidth="1" min="9" max="9"/>
  </cols>
  <sheetData>
    <row r="2">
      <c r="B2" s="7" t="inlineStr">
        <is>
          <t>Transactions</t>
        </is>
      </c>
    </row>
    <row r="3">
      <c r="B3" s="10" t="inlineStr">
        <is>
          <t>Log every income and expense here. Yellow cells are yours to fill; the rest is automatic.</t>
        </is>
      </c>
    </row>
    <row r="6" ht="22" customHeight="1">
      <c r="B6" s="19" t="inlineStr">
        <is>
          <t>Date</t>
        </is>
      </c>
      <c r="C6" s="19" t="inlineStr">
        <is>
          <t>Description</t>
        </is>
      </c>
      <c r="D6" s="19" t="inlineStr">
        <is>
          <t>Type</t>
        </is>
      </c>
      <c r="E6" s="19" t="inlineStr">
        <is>
          <t>Category</t>
        </is>
      </c>
      <c r="F6" s="19" t="inlineStr">
        <is>
          <t>Amount</t>
        </is>
      </c>
      <c r="G6" s="19" t="inlineStr">
        <is>
          <t>Account</t>
        </is>
      </c>
      <c r="H6" s="19" t="inlineStr">
        <is>
          <t>Notes</t>
        </is>
      </c>
      <c r="I6" s="19" t="inlineStr">
        <is>
          <t>Month (auto)</t>
        </is>
      </c>
    </row>
    <row r="7">
      <c r="B7" s="35" t="n">
        <v>46266</v>
      </c>
      <c r="C7" s="32" t="inlineStr">
        <is>
          <t>Paycheck</t>
        </is>
      </c>
      <c r="D7" s="32" t="inlineStr">
        <is>
          <t>Income</t>
        </is>
      </c>
      <c r="E7" s="32" t="inlineStr">
        <is>
          <t>Salary</t>
        </is>
      </c>
      <c r="F7" s="36" t="n">
        <v>3200</v>
      </c>
      <c r="G7" s="32" t="inlineStr">
        <is>
          <t>Checking</t>
        </is>
      </c>
      <c r="H7" s="32" t="inlineStr">
        <is>
          <t>example row – delete me</t>
        </is>
      </c>
      <c r="I7" s="37">
        <f>IF(B7="","",DATE(YEAR(B7),MONTH(B7),1))</f>
        <v/>
      </c>
    </row>
    <row r="8">
      <c r="B8" s="35" t="n">
        <v>46266</v>
      </c>
      <c r="C8" s="32" t="inlineStr">
        <is>
          <t>Rent</t>
        </is>
      </c>
      <c r="D8" s="32" t="inlineStr">
        <is>
          <t>Expense</t>
        </is>
      </c>
      <c r="E8" s="32" t="inlineStr">
        <is>
          <t>Housing</t>
        </is>
      </c>
      <c r="F8" s="36" t="n">
        <v>1450</v>
      </c>
      <c r="G8" s="32" t="inlineStr">
        <is>
          <t>Checking</t>
        </is>
      </c>
      <c r="H8" s="32" t="inlineStr">
        <is>
          <t>example</t>
        </is>
      </c>
      <c r="I8" s="37">
        <f>IF(B8="","",DATE(YEAR(B8),MONTH(B8),1))</f>
        <v/>
      </c>
    </row>
    <row r="9">
      <c r="B9" s="35" t="n">
        <v>46268</v>
      </c>
      <c r="C9" s="32" t="inlineStr">
        <is>
          <t>Grocery run</t>
        </is>
      </c>
      <c r="D9" s="32" t="inlineStr">
        <is>
          <t>Expense</t>
        </is>
      </c>
      <c r="E9" s="32" t="inlineStr">
        <is>
          <t>Groceries</t>
        </is>
      </c>
      <c r="F9" s="36" t="n">
        <v>128.4</v>
      </c>
      <c r="G9" s="32" t="inlineStr">
        <is>
          <t>Credit card</t>
        </is>
      </c>
      <c r="H9" s="32" t="inlineStr">
        <is>
          <t>example</t>
        </is>
      </c>
      <c r="I9" s="37">
        <f>IF(B9="","",DATE(YEAR(B9),MONTH(B9),1))</f>
        <v/>
      </c>
    </row>
    <row r="10">
      <c r="B10" s="35" t="n">
        <v>46269</v>
      </c>
      <c r="C10" s="32" t="inlineStr">
        <is>
          <t>Electric bill</t>
        </is>
      </c>
      <c r="D10" s="32" t="inlineStr">
        <is>
          <t>Expense</t>
        </is>
      </c>
      <c r="E10" s="32" t="inlineStr">
        <is>
          <t>Utilities</t>
        </is>
      </c>
      <c r="F10" s="36" t="n">
        <v>96.09999999999999</v>
      </c>
      <c r="G10" s="32" t="inlineStr">
        <is>
          <t>Checking</t>
        </is>
      </c>
      <c r="H10" s="32" t="inlineStr">
        <is>
          <t>example</t>
        </is>
      </c>
      <c r="I10" s="37">
        <f>IF(B10="","",DATE(YEAR(B10),MONTH(B10),1))</f>
        <v/>
      </c>
    </row>
    <row r="11">
      <c r="B11" s="35" t="n">
        <v>46271</v>
      </c>
      <c r="C11" s="32" t="inlineStr">
        <is>
          <t>Gas</t>
        </is>
      </c>
      <c r="D11" s="32" t="inlineStr">
        <is>
          <t>Expense</t>
        </is>
      </c>
      <c r="E11" s="32" t="inlineStr">
        <is>
          <t>Transport</t>
        </is>
      </c>
      <c r="F11" s="36" t="n">
        <v>52</v>
      </c>
      <c r="G11" s="32" t="inlineStr">
        <is>
          <t>Credit card</t>
        </is>
      </c>
      <c r="H11" s="32" t="inlineStr">
        <is>
          <t>example</t>
        </is>
      </c>
      <c r="I11" s="37">
        <f>IF(B11="","",DATE(YEAR(B11),MONTH(B11),1))</f>
        <v/>
      </c>
    </row>
    <row r="12">
      <c r="B12" s="35" t="n">
        <v>46272</v>
      </c>
      <c r="C12" s="32" t="inlineStr">
        <is>
          <t>Streaming</t>
        </is>
      </c>
      <c r="D12" s="32" t="inlineStr">
        <is>
          <t>Expense</t>
        </is>
      </c>
      <c r="E12" s="32" t="inlineStr">
        <is>
          <t>Subscriptions</t>
        </is>
      </c>
      <c r="F12" s="36" t="n">
        <v>15.99</v>
      </c>
      <c r="G12" s="32" t="inlineStr">
        <is>
          <t>Credit card</t>
        </is>
      </c>
      <c r="H12" s="32" t="inlineStr">
        <is>
          <t>example</t>
        </is>
      </c>
      <c r="I12" s="37">
        <f>IF(B12="","",DATE(YEAR(B12),MONTH(B12),1))</f>
        <v/>
      </c>
    </row>
    <row r="13">
      <c r="B13" s="35" t="n">
        <v>46274</v>
      </c>
      <c r="C13" s="32" t="inlineStr">
        <is>
          <t>Dinner out</t>
        </is>
      </c>
      <c r="D13" s="32" t="inlineStr">
        <is>
          <t>Expense</t>
        </is>
      </c>
      <c r="E13" s="32" t="inlineStr">
        <is>
          <t>Eating out</t>
        </is>
      </c>
      <c r="F13" s="36" t="n">
        <v>64.3</v>
      </c>
      <c r="G13" s="32" t="inlineStr">
        <is>
          <t>Credit card</t>
        </is>
      </c>
      <c r="H13" s="32" t="inlineStr">
        <is>
          <t>example</t>
        </is>
      </c>
      <c r="I13" s="37">
        <f>IF(B13="","",DATE(YEAR(B13),MONTH(B13),1))</f>
        <v/>
      </c>
    </row>
    <row r="14">
      <c r="B14" s="35" t="n">
        <v>46277</v>
      </c>
      <c r="C14" s="32" t="inlineStr">
        <is>
          <t>Freelance invoice</t>
        </is>
      </c>
      <c r="D14" s="32" t="inlineStr">
        <is>
          <t>Income</t>
        </is>
      </c>
      <c r="E14" s="32" t="inlineStr">
        <is>
          <t>Side income</t>
        </is>
      </c>
      <c r="F14" s="36" t="n">
        <v>450</v>
      </c>
      <c r="G14" s="32" t="inlineStr">
        <is>
          <t>Checking</t>
        </is>
      </c>
      <c r="H14" s="32" t="inlineStr">
        <is>
          <t>example</t>
        </is>
      </c>
      <c r="I14" s="37">
        <f>IF(B14="","",DATE(YEAR(B14),MONTH(B14),1))</f>
        <v/>
      </c>
    </row>
    <row r="15">
      <c r="B15" s="35" t="n">
        <v>46279</v>
      </c>
      <c r="C15" s="32" t="inlineStr">
        <is>
          <t>Grocery run</t>
        </is>
      </c>
      <c r="D15" s="32" t="inlineStr">
        <is>
          <t>Expense</t>
        </is>
      </c>
      <c r="E15" s="32" t="inlineStr">
        <is>
          <t>Groceries</t>
        </is>
      </c>
      <c r="F15" s="36" t="n">
        <v>142.75</v>
      </c>
      <c r="G15" s="32" t="inlineStr">
        <is>
          <t>Credit card</t>
        </is>
      </c>
      <c r="H15" s="32" t="inlineStr">
        <is>
          <t>example</t>
        </is>
      </c>
      <c r="I15" s="37">
        <f>IF(B15="","",DATE(YEAR(B15),MONTH(B15),1))</f>
        <v/>
      </c>
    </row>
    <row r="16">
      <c r="B16" s="35" t="n">
        <v>46280</v>
      </c>
      <c r="C16" s="32" t="inlineStr">
        <is>
          <t>Paycheck</t>
        </is>
      </c>
      <c r="D16" s="32" t="inlineStr">
        <is>
          <t>Income</t>
        </is>
      </c>
      <c r="E16" s="32" t="inlineStr">
        <is>
          <t>Salary</t>
        </is>
      </c>
      <c r="F16" s="36" t="n">
        <v>3200</v>
      </c>
      <c r="G16" s="32" t="inlineStr">
        <is>
          <t>Checking</t>
        </is>
      </c>
      <c r="H16" s="32" t="inlineStr">
        <is>
          <t>example</t>
        </is>
      </c>
      <c r="I16" s="37">
        <f>IF(B16="","",DATE(YEAR(B16),MONTH(B16),1))</f>
        <v/>
      </c>
    </row>
    <row r="17">
      <c r="B17" s="35" t="n">
        <v>46281</v>
      </c>
      <c r="C17" s="32" t="inlineStr">
        <is>
          <t>Phone plan</t>
        </is>
      </c>
      <c r="D17" s="32" t="inlineStr">
        <is>
          <t>Expense</t>
        </is>
      </c>
      <c r="E17" s="32" t="inlineStr">
        <is>
          <t>Phone &amp; internet</t>
        </is>
      </c>
      <c r="F17" s="36" t="n">
        <v>70</v>
      </c>
      <c r="G17" s="32" t="inlineStr">
        <is>
          <t>Checking</t>
        </is>
      </c>
      <c r="H17" s="32" t="inlineStr">
        <is>
          <t>example</t>
        </is>
      </c>
      <c r="I17" s="37">
        <f>IF(B17="","",DATE(YEAR(B17),MONTH(B17),1))</f>
        <v/>
      </c>
    </row>
    <row r="18">
      <c r="B18" s="35" t="n">
        <v>46283</v>
      </c>
      <c r="C18" s="32" t="inlineStr">
        <is>
          <t>Transfer to savings</t>
        </is>
      </c>
      <c r="D18" s="32" t="inlineStr">
        <is>
          <t>Expense</t>
        </is>
      </c>
      <c r="E18" s="32" t="inlineStr">
        <is>
          <t>Savings transfers</t>
        </is>
      </c>
      <c r="F18" s="36" t="n">
        <v>400</v>
      </c>
      <c r="G18" s="32" t="inlineStr">
        <is>
          <t>Savings</t>
        </is>
      </c>
      <c r="H18" s="32" t="inlineStr">
        <is>
          <t>example</t>
        </is>
      </c>
      <c r="I18" s="37">
        <f>IF(B18="","",DATE(YEAR(B18),MONTH(B18),1))</f>
        <v/>
      </c>
    </row>
    <row r="19">
      <c r="B19" s="35" t="n">
        <v>46285</v>
      </c>
      <c r="C19" s="32" t="inlineStr">
        <is>
          <t>New shoes</t>
        </is>
      </c>
      <c r="D19" s="32" t="inlineStr">
        <is>
          <t>Expense</t>
        </is>
      </c>
      <c r="E19" s="32" t="inlineStr">
        <is>
          <t>Shopping</t>
        </is>
      </c>
      <c r="F19" s="36" t="n">
        <v>89.98999999999999</v>
      </c>
      <c r="G19" s="32" t="inlineStr">
        <is>
          <t>Credit card</t>
        </is>
      </c>
      <c r="H19" s="32" t="inlineStr">
        <is>
          <t>example</t>
        </is>
      </c>
      <c r="I19" s="37">
        <f>IF(B19="","",DATE(YEAR(B19),MONTH(B19),1))</f>
        <v/>
      </c>
    </row>
    <row r="20">
      <c r="B20" s="35" t="n">
        <v>46287</v>
      </c>
      <c r="C20" s="32" t="inlineStr">
        <is>
          <t>Coffee</t>
        </is>
      </c>
      <c r="D20" s="32" t="inlineStr">
        <is>
          <t>Expense</t>
        </is>
      </c>
      <c r="E20" s="32" t="inlineStr">
        <is>
          <t>Eating out</t>
        </is>
      </c>
      <c r="F20" s="36" t="n">
        <v>6.5</v>
      </c>
      <c r="G20" s="32" t="inlineStr">
        <is>
          <t>Cash</t>
        </is>
      </c>
      <c r="H20" s="32" t="inlineStr">
        <is>
          <t>example</t>
        </is>
      </c>
      <c r="I20" s="37">
        <f>IF(B20="","",DATE(YEAR(B20),MONTH(B20),1))</f>
        <v/>
      </c>
    </row>
    <row r="21">
      <c r="B21" s="35" t="n">
        <v>46290</v>
      </c>
      <c r="C21" s="32" t="inlineStr">
        <is>
          <t>Car insurance</t>
        </is>
      </c>
      <c r="D21" s="32" t="inlineStr">
        <is>
          <t>Expense</t>
        </is>
      </c>
      <c r="E21" s="32" t="inlineStr">
        <is>
          <t>Insurance</t>
        </is>
      </c>
      <c r="F21" s="36" t="n">
        <v>118</v>
      </c>
      <c r="G21" s="32" t="inlineStr">
        <is>
          <t>Checking</t>
        </is>
      </c>
      <c r="H21" s="32" t="inlineStr">
        <is>
          <t>example</t>
        </is>
      </c>
      <c r="I21" s="37">
        <f>IF(B21="","",DATE(YEAR(B21),MONTH(B21),1))</f>
        <v/>
      </c>
    </row>
    <row r="22">
      <c r="B22" s="35" t="n">
        <v>46292</v>
      </c>
      <c r="C22" s="32" t="inlineStr">
        <is>
          <t>Concert tickets</t>
        </is>
      </c>
      <c r="D22" s="32" t="inlineStr">
        <is>
          <t>Expense</t>
        </is>
      </c>
      <c r="E22" s="32" t="inlineStr">
        <is>
          <t>Fun &amp; hobbies</t>
        </is>
      </c>
      <c r="F22" s="36" t="n">
        <v>75</v>
      </c>
      <c r="G22" s="32" t="inlineStr">
        <is>
          <t>Credit card</t>
        </is>
      </c>
      <c r="H22" s="32" t="inlineStr">
        <is>
          <t>example</t>
        </is>
      </c>
      <c r="I22" s="37">
        <f>IF(B22="","",DATE(YEAR(B22),MONTH(B22),1))</f>
        <v/>
      </c>
    </row>
    <row r="23">
      <c r="B23" s="35" t="n">
        <v>46267</v>
      </c>
      <c r="C23" s="32" t="inlineStr">
        <is>
          <t>Doctor copay</t>
        </is>
      </c>
      <c r="D23" s="32" t="inlineStr">
        <is>
          <t>Expense</t>
        </is>
      </c>
      <c r="E23" s="32" t="inlineStr">
        <is>
          <t>Health</t>
        </is>
      </c>
      <c r="F23" s="36" t="n">
        <v>40</v>
      </c>
      <c r="G23" s="32" t="inlineStr">
        <is>
          <t>Credit card</t>
        </is>
      </c>
      <c r="H23" s="32" t="inlineStr">
        <is>
          <t>example</t>
        </is>
      </c>
      <c r="I23" s="37">
        <f>IF(B23="","",DATE(YEAR(B23),MONTH(B23),1))</f>
        <v/>
      </c>
    </row>
    <row r="24">
      <c r="B24" s="35" t="n">
        <v>46270</v>
      </c>
      <c r="C24" s="32" t="inlineStr">
        <is>
          <t>Grocery run</t>
        </is>
      </c>
      <c r="D24" s="32" t="inlineStr">
        <is>
          <t>Expense</t>
        </is>
      </c>
      <c r="E24" s="32" t="inlineStr">
        <is>
          <t>Groceries</t>
        </is>
      </c>
      <c r="F24" s="36" t="n">
        <v>115.2</v>
      </c>
      <c r="G24" s="32" t="inlineStr">
        <is>
          <t>Credit card</t>
        </is>
      </c>
      <c r="H24" s="32" t="inlineStr">
        <is>
          <t>example</t>
        </is>
      </c>
      <c r="I24" s="37">
        <f>IF(B24="","",DATE(YEAR(B24),MONTH(B24),1))</f>
        <v/>
      </c>
    </row>
    <row r="25">
      <c r="B25" s="35" t="n">
        <v>46275</v>
      </c>
      <c r="C25" s="32" t="inlineStr">
        <is>
          <t>Gas</t>
        </is>
      </c>
      <c r="D25" s="32" t="inlineStr">
        <is>
          <t>Expense</t>
        </is>
      </c>
      <c r="E25" s="32" t="inlineStr">
        <is>
          <t>Transport</t>
        </is>
      </c>
      <c r="F25" s="36" t="n">
        <v>48</v>
      </c>
      <c r="G25" s="32" t="inlineStr">
        <is>
          <t>Credit card</t>
        </is>
      </c>
      <c r="H25" s="32" t="inlineStr">
        <is>
          <t>example</t>
        </is>
      </c>
      <c r="I25" s="37">
        <f>IF(B25="","",DATE(YEAR(B25),MONTH(B25),1))</f>
        <v/>
      </c>
    </row>
    <row r="26">
      <c r="B26" s="35" t="n">
        <v>46276</v>
      </c>
      <c r="C26" s="32" t="inlineStr">
        <is>
          <t>Music app</t>
        </is>
      </c>
      <c r="D26" s="32" t="inlineStr">
        <is>
          <t>Expense</t>
        </is>
      </c>
      <c r="E26" s="32" t="inlineStr">
        <is>
          <t>Subscriptions</t>
        </is>
      </c>
      <c r="F26" s="36" t="n">
        <v>12.99</v>
      </c>
      <c r="G26" s="32" t="inlineStr">
        <is>
          <t>Credit card</t>
        </is>
      </c>
      <c r="H26" s="32" t="inlineStr">
        <is>
          <t>example</t>
        </is>
      </c>
      <c r="I26" s="37">
        <f>IF(B26="","",DATE(YEAR(B26),MONTH(B26),1))</f>
        <v/>
      </c>
    </row>
    <row r="27">
      <c r="B27" s="35" t="n">
        <v>46278</v>
      </c>
      <c r="C27" s="32" t="inlineStr">
        <is>
          <t>Haircut</t>
        </is>
      </c>
      <c r="D27" s="32" t="inlineStr">
        <is>
          <t>Expense</t>
        </is>
      </c>
      <c r="E27" s="32" t="inlineStr">
        <is>
          <t>Personal care</t>
        </is>
      </c>
      <c r="F27" s="36" t="n">
        <v>35</v>
      </c>
      <c r="G27" s="32" t="inlineStr">
        <is>
          <t>Cash</t>
        </is>
      </c>
      <c r="H27" s="32" t="inlineStr">
        <is>
          <t>example</t>
        </is>
      </c>
      <c r="I27" s="37">
        <f>IF(B27="","",DATE(YEAR(B27),MONTH(B27),1))</f>
        <v/>
      </c>
    </row>
    <row r="28">
      <c r="B28" s="35" t="n">
        <v>46284</v>
      </c>
      <c r="C28" s="32" t="inlineStr">
        <is>
          <t>Grocery run</t>
        </is>
      </c>
      <c r="D28" s="32" t="inlineStr">
        <is>
          <t>Expense</t>
        </is>
      </c>
      <c r="E28" s="32" t="inlineStr">
        <is>
          <t>Groceries</t>
        </is>
      </c>
      <c r="F28" s="36" t="n">
        <v>131.6</v>
      </c>
      <c r="G28" s="32" t="inlineStr">
        <is>
          <t>Credit card</t>
        </is>
      </c>
      <c r="H28" s="32" t="inlineStr">
        <is>
          <t>example</t>
        </is>
      </c>
      <c r="I28" s="37">
        <f>IF(B28="","",DATE(YEAR(B28),MONTH(B28),1))</f>
        <v/>
      </c>
    </row>
    <row r="29">
      <c r="B29" s="35" t="n">
        <v>46286</v>
      </c>
      <c r="C29" s="32" t="inlineStr">
        <is>
          <t>Water bill</t>
        </is>
      </c>
      <c r="D29" s="32" t="inlineStr">
        <is>
          <t>Expense</t>
        </is>
      </c>
      <c r="E29" s="32" t="inlineStr">
        <is>
          <t>Utilities</t>
        </is>
      </c>
      <c r="F29" s="36" t="n">
        <v>45</v>
      </c>
      <c r="G29" s="32" t="inlineStr">
        <is>
          <t>Checking</t>
        </is>
      </c>
      <c r="H29" s="32" t="inlineStr">
        <is>
          <t>example</t>
        </is>
      </c>
      <c r="I29" s="37">
        <f>IF(B29="","",DATE(YEAR(B29),MONTH(B29),1))</f>
        <v/>
      </c>
    </row>
    <row r="30">
      <c r="B30" s="35" t="n">
        <v>46288</v>
      </c>
      <c r="C30" s="32" t="inlineStr">
        <is>
          <t>Birthday gift</t>
        </is>
      </c>
      <c r="D30" s="32" t="inlineStr">
        <is>
          <t>Expense</t>
        </is>
      </c>
      <c r="E30" s="32" t="inlineStr">
        <is>
          <t>Gifts &amp; giving</t>
        </is>
      </c>
      <c r="F30" s="36" t="n">
        <v>40</v>
      </c>
      <c r="G30" s="32" t="inlineStr">
        <is>
          <t>Credit card</t>
        </is>
      </c>
      <c r="H30" s="32" t="inlineStr">
        <is>
          <t>example</t>
        </is>
      </c>
      <c r="I30" s="37">
        <f>IF(B30="","",DATE(YEAR(B30),MONTH(B30),1))</f>
        <v/>
      </c>
    </row>
    <row r="31">
      <c r="B31" s="35" t="n">
        <v>46289</v>
      </c>
      <c r="C31" s="32" t="inlineStr">
        <is>
          <t>Lunch</t>
        </is>
      </c>
      <c r="D31" s="32" t="inlineStr">
        <is>
          <t>Expense</t>
        </is>
      </c>
      <c r="E31" s="32" t="inlineStr">
        <is>
          <t>Eating out</t>
        </is>
      </c>
      <c r="F31" s="36" t="n">
        <v>28.4</v>
      </c>
      <c r="G31" s="32" t="inlineStr">
        <is>
          <t>Credit card</t>
        </is>
      </c>
      <c r="H31" s="32" t="inlineStr">
        <is>
          <t>example</t>
        </is>
      </c>
      <c r="I31" s="37">
        <f>IF(B31="","",DATE(YEAR(B31),MONTH(B31),1))</f>
        <v/>
      </c>
    </row>
    <row r="32">
      <c r="B32" s="35" t="n">
        <v>46291</v>
      </c>
      <c r="C32" s="32" t="inlineStr">
        <is>
          <t>Grocery run</t>
        </is>
      </c>
      <c r="D32" s="32" t="inlineStr">
        <is>
          <t>Expense</t>
        </is>
      </c>
      <c r="E32" s="32" t="inlineStr">
        <is>
          <t>Groceries</t>
        </is>
      </c>
      <c r="F32" s="36" t="n">
        <v>120.35</v>
      </c>
      <c r="G32" s="32" t="inlineStr">
        <is>
          <t>Credit card</t>
        </is>
      </c>
      <c r="H32" s="32" t="inlineStr">
        <is>
          <t>example</t>
        </is>
      </c>
      <c r="I32" s="37">
        <f>IF(B32="","",DATE(YEAR(B32),MONTH(B32),1))</f>
        <v/>
      </c>
    </row>
    <row r="33">
      <c r="B33" s="35" t="n">
        <v>46293</v>
      </c>
      <c r="C33" s="32" t="inlineStr">
        <is>
          <t>Parking</t>
        </is>
      </c>
      <c r="D33" s="32" t="inlineStr">
        <is>
          <t>Expense</t>
        </is>
      </c>
      <c r="E33" s="32" t="inlineStr">
        <is>
          <t>Transport</t>
        </is>
      </c>
      <c r="F33" s="36" t="n">
        <v>12</v>
      </c>
      <c r="G33" s="32" t="inlineStr">
        <is>
          <t>Cash</t>
        </is>
      </c>
      <c r="H33" s="32" t="inlineStr">
        <is>
          <t>example</t>
        </is>
      </c>
      <c r="I33" s="37">
        <f>IF(B33="","",DATE(YEAR(B33),MONTH(B33),1))</f>
        <v/>
      </c>
    </row>
    <row r="34">
      <c r="B34" s="35" t="n">
        <v>46294</v>
      </c>
      <c r="C34" s="32" t="inlineStr">
        <is>
          <t>Pharmacy</t>
        </is>
      </c>
      <c r="D34" s="32" t="inlineStr">
        <is>
          <t>Expense</t>
        </is>
      </c>
      <c r="E34" s="32" t="inlineStr">
        <is>
          <t>Health</t>
        </is>
      </c>
      <c r="F34" s="36" t="n">
        <v>22.5</v>
      </c>
      <c r="G34" s="32" t="inlineStr">
        <is>
          <t>Credit card</t>
        </is>
      </c>
      <c r="H34" s="32" t="inlineStr">
        <is>
          <t>example</t>
        </is>
      </c>
      <c r="I34" s="37">
        <f>IF(B34="","",DATE(YEAR(B34),MONTH(B34),1))</f>
        <v/>
      </c>
    </row>
    <row r="35">
      <c r="B35" s="35" t="n">
        <v>46295</v>
      </c>
      <c r="C35" s="32" t="inlineStr">
        <is>
          <t>Credit card payment</t>
        </is>
      </c>
      <c r="D35" s="32" t="inlineStr">
        <is>
          <t>Expense</t>
        </is>
      </c>
      <c r="E35" s="32" t="inlineStr">
        <is>
          <t>Debt payments</t>
        </is>
      </c>
      <c r="F35" s="36" t="n">
        <v>250</v>
      </c>
      <c r="G35" s="32" t="inlineStr">
        <is>
          <t>Checking</t>
        </is>
      </c>
      <c r="H35" s="32" t="inlineStr">
        <is>
          <t>example</t>
        </is>
      </c>
      <c r="I35" s="37">
        <f>IF(B35="","",DATE(YEAR(B35),MONTH(B35),1))</f>
        <v/>
      </c>
    </row>
    <row r="36">
      <c r="B36" s="35" t="n"/>
      <c r="C36" s="32" t="n"/>
      <c r="D36" s="32" t="n"/>
      <c r="E36" s="32" t="n"/>
      <c r="F36" s="36" t="n"/>
      <c r="G36" s="32" t="n"/>
      <c r="H36" s="32" t="n"/>
      <c r="I36" s="37">
        <f>IF(B36="","",DATE(YEAR(B36),MONTH(B36),1))</f>
        <v/>
      </c>
    </row>
    <row r="37">
      <c r="B37" s="35" t="n"/>
      <c r="C37" s="32" t="n"/>
      <c r="D37" s="32" t="n"/>
      <c r="E37" s="32" t="n"/>
      <c r="F37" s="36" t="n"/>
      <c r="G37" s="32" t="n"/>
      <c r="H37" s="32" t="n"/>
      <c r="I37" s="37">
        <f>IF(B37="","",DATE(YEAR(B37),MONTH(B37),1))</f>
        <v/>
      </c>
    </row>
    <row r="38">
      <c r="B38" s="35" t="n"/>
      <c r="C38" s="32" t="n"/>
      <c r="D38" s="32" t="n"/>
      <c r="E38" s="32" t="n"/>
      <c r="F38" s="36" t="n"/>
      <c r="G38" s="32" t="n"/>
      <c r="H38" s="32" t="n"/>
      <c r="I38" s="37">
        <f>IF(B38="","",DATE(YEAR(B38),MONTH(B38),1))</f>
        <v/>
      </c>
    </row>
    <row r="39">
      <c r="B39" s="35" t="n"/>
      <c r="C39" s="32" t="n"/>
      <c r="D39" s="32" t="n"/>
      <c r="E39" s="32" t="n"/>
      <c r="F39" s="36" t="n"/>
      <c r="G39" s="32" t="n"/>
      <c r="H39" s="32" t="n"/>
      <c r="I39" s="37">
        <f>IF(B39="","",DATE(YEAR(B39),MONTH(B39),1))</f>
        <v/>
      </c>
    </row>
    <row r="40">
      <c r="B40" s="35" t="n"/>
      <c r="C40" s="32" t="n"/>
      <c r="D40" s="32" t="n"/>
      <c r="E40" s="32" t="n"/>
      <c r="F40" s="36" t="n"/>
      <c r="G40" s="32" t="n"/>
      <c r="H40" s="32" t="n"/>
      <c r="I40" s="37">
        <f>IF(B40="","",DATE(YEAR(B40),MONTH(B40),1))</f>
        <v/>
      </c>
    </row>
    <row r="41">
      <c r="B41" s="35" t="n"/>
      <c r="C41" s="32" t="n"/>
      <c r="D41" s="32" t="n"/>
      <c r="E41" s="32" t="n"/>
      <c r="F41" s="36" t="n"/>
      <c r="G41" s="32" t="n"/>
      <c r="H41" s="32" t="n"/>
      <c r="I41" s="37">
        <f>IF(B41="","",DATE(YEAR(B41),MONTH(B41),1))</f>
        <v/>
      </c>
    </row>
    <row r="42">
      <c r="B42" s="35" t="n"/>
      <c r="C42" s="32" t="n"/>
      <c r="D42" s="32" t="n"/>
      <c r="E42" s="32" t="n"/>
      <c r="F42" s="36" t="n"/>
      <c r="G42" s="32" t="n"/>
      <c r="H42" s="32" t="n"/>
      <c r="I42" s="37">
        <f>IF(B42="","",DATE(YEAR(B42),MONTH(B42),1))</f>
        <v/>
      </c>
    </row>
    <row r="43">
      <c r="B43" s="35" t="n"/>
      <c r="C43" s="32" t="n"/>
      <c r="D43" s="32" t="n"/>
      <c r="E43" s="32" t="n"/>
      <c r="F43" s="36" t="n"/>
      <c r="G43" s="32" t="n"/>
      <c r="H43" s="32" t="n"/>
      <c r="I43" s="37">
        <f>IF(B43="","",DATE(YEAR(B43),MONTH(B43),1))</f>
        <v/>
      </c>
    </row>
    <row r="44">
      <c r="B44" s="35" t="n"/>
      <c r="C44" s="32" t="n"/>
      <c r="D44" s="32" t="n"/>
      <c r="E44" s="32" t="n"/>
      <c r="F44" s="36" t="n"/>
      <c r="G44" s="32" t="n"/>
      <c r="H44" s="32" t="n"/>
      <c r="I44" s="37">
        <f>IF(B44="","",DATE(YEAR(B44),MONTH(B44),1))</f>
        <v/>
      </c>
    </row>
    <row r="45">
      <c r="B45" s="35" t="n"/>
      <c r="C45" s="32" t="n"/>
      <c r="D45" s="32" t="n"/>
      <c r="E45" s="32" t="n"/>
      <c r="F45" s="36" t="n"/>
      <c r="G45" s="32" t="n"/>
      <c r="H45" s="32" t="n"/>
      <c r="I45" s="37">
        <f>IF(B45="","",DATE(YEAR(B45),MONTH(B45),1))</f>
        <v/>
      </c>
    </row>
    <row r="46">
      <c r="B46" s="35" t="n"/>
      <c r="C46" s="32" t="n"/>
      <c r="D46" s="32" t="n"/>
      <c r="E46" s="32" t="n"/>
      <c r="F46" s="36" t="n"/>
      <c r="G46" s="32" t="n"/>
      <c r="H46" s="32" t="n"/>
      <c r="I46" s="37">
        <f>IF(B46="","",DATE(YEAR(B46),MONTH(B46),1))</f>
        <v/>
      </c>
    </row>
    <row r="47">
      <c r="B47" s="35" t="n"/>
      <c r="C47" s="32" t="n"/>
      <c r="D47" s="32" t="n"/>
      <c r="E47" s="32" t="n"/>
      <c r="F47" s="36" t="n"/>
      <c r="G47" s="32" t="n"/>
      <c r="H47" s="32" t="n"/>
      <c r="I47" s="37">
        <f>IF(B47="","",DATE(YEAR(B47),MONTH(B47),1))</f>
        <v/>
      </c>
    </row>
    <row r="48">
      <c r="B48" s="35" t="n"/>
      <c r="C48" s="32" t="n"/>
      <c r="D48" s="32" t="n"/>
      <c r="E48" s="32" t="n"/>
      <c r="F48" s="36" t="n"/>
      <c r="G48" s="32" t="n"/>
      <c r="H48" s="32" t="n"/>
      <c r="I48" s="37">
        <f>IF(B48="","",DATE(YEAR(B48),MONTH(B48),1))</f>
        <v/>
      </c>
    </row>
    <row r="49">
      <c r="B49" s="35" t="n"/>
      <c r="C49" s="32" t="n"/>
      <c r="D49" s="32" t="n"/>
      <c r="E49" s="32" t="n"/>
      <c r="F49" s="36" t="n"/>
      <c r="G49" s="32" t="n"/>
      <c r="H49" s="32" t="n"/>
      <c r="I49" s="37">
        <f>IF(B49="","",DATE(YEAR(B49),MONTH(B49),1))</f>
        <v/>
      </c>
    </row>
    <row r="50">
      <c r="B50" s="35" t="n"/>
      <c r="C50" s="32" t="n"/>
      <c r="D50" s="32" t="n"/>
      <c r="E50" s="32" t="n"/>
      <c r="F50" s="36" t="n"/>
      <c r="G50" s="32" t="n"/>
      <c r="H50" s="32" t="n"/>
      <c r="I50" s="37">
        <f>IF(B50="","",DATE(YEAR(B50),MONTH(B50),1))</f>
        <v/>
      </c>
    </row>
    <row r="51">
      <c r="B51" s="35" t="n"/>
      <c r="C51" s="32" t="n"/>
      <c r="D51" s="32" t="n"/>
      <c r="E51" s="32" t="n"/>
      <c r="F51" s="36" t="n"/>
      <c r="G51" s="32" t="n"/>
      <c r="H51" s="32" t="n"/>
      <c r="I51" s="37">
        <f>IF(B51="","",DATE(YEAR(B51),MONTH(B51),1))</f>
        <v/>
      </c>
    </row>
    <row r="52">
      <c r="B52" s="35" t="n"/>
      <c r="C52" s="32" t="n"/>
      <c r="D52" s="32" t="n"/>
      <c r="E52" s="32" t="n"/>
      <c r="F52" s="36" t="n"/>
      <c r="G52" s="32" t="n"/>
      <c r="H52" s="32" t="n"/>
      <c r="I52" s="37">
        <f>IF(B52="","",DATE(YEAR(B52),MONTH(B52),1))</f>
        <v/>
      </c>
    </row>
    <row r="53">
      <c r="B53" s="35" t="n"/>
      <c r="C53" s="32" t="n"/>
      <c r="D53" s="32" t="n"/>
      <c r="E53" s="32" t="n"/>
      <c r="F53" s="36" t="n"/>
      <c r="G53" s="32" t="n"/>
      <c r="H53" s="32" t="n"/>
      <c r="I53" s="37">
        <f>IF(B53="","",DATE(YEAR(B53),MONTH(B53),1))</f>
        <v/>
      </c>
    </row>
    <row r="54">
      <c r="B54" s="35" t="n"/>
      <c r="C54" s="32" t="n"/>
      <c r="D54" s="32" t="n"/>
      <c r="E54" s="32" t="n"/>
      <c r="F54" s="36" t="n"/>
      <c r="G54" s="32" t="n"/>
      <c r="H54" s="32" t="n"/>
      <c r="I54" s="37">
        <f>IF(B54="","",DATE(YEAR(B54),MONTH(B54),1))</f>
        <v/>
      </c>
    </row>
    <row r="55">
      <c r="B55" s="35" t="n"/>
      <c r="C55" s="32" t="n"/>
      <c r="D55" s="32" t="n"/>
      <c r="E55" s="32" t="n"/>
      <c r="F55" s="36" t="n"/>
      <c r="G55" s="32" t="n"/>
      <c r="H55" s="32" t="n"/>
      <c r="I55" s="37">
        <f>IF(B55="","",DATE(YEAR(B55),MONTH(B55),1))</f>
        <v/>
      </c>
    </row>
    <row r="56">
      <c r="B56" s="35" t="n"/>
      <c r="C56" s="32" t="n"/>
      <c r="D56" s="32" t="n"/>
      <c r="E56" s="32" t="n"/>
      <c r="F56" s="36" t="n"/>
      <c r="G56" s="32" t="n"/>
      <c r="H56" s="32" t="n"/>
      <c r="I56" s="37">
        <f>IF(B56="","",DATE(YEAR(B56),MONTH(B56),1))</f>
        <v/>
      </c>
    </row>
    <row r="57">
      <c r="B57" s="35" t="n"/>
      <c r="C57" s="32" t="n"/>
      <c r="D57" s="32" t="n"/>
      <c r="E57" s="32" t="n"/>
      <c r="F57" s="36" t="n"/>
      <c r="G57" s="32" t="n"/>
      <c r="H57" s="32" t="n"/>
      <c r="I57" s="37">
        <f>IF(B57="","",DATE(YEAR(B57),MONTH(B57),1))</f>
        <v/>
      </c>
    </row>
    <row r="58">
      <c r="B58" s="35" t="n"/>
      <c r="C58" s="32" t="n"/>
      <c r="D58" s="32" t="n"/>
      <c r="E58" s="32" t="n"/>
      <c r="F58" s="36" t="n"/>
      <c r="G58" s="32" t="n"/>
      <c r="H58" s="32" t="n"/>
      <c r="I58" s="37">
        <f>IF(B58="","",DATE(YEAR(B58),MONTH(B58),1))</f>
        <v/>
      </c>
    </row>
    <row r="59">
      <c r="B59" s="35" t="n"/>
      <c r="C59" s="32" t="n"/>
      <c r="D59" s="32" t="n"/>
      <c r="E59" s="32" t="n"/>
      <c r="F59" s="36" t="n"/>
      <c r="G59" s="32" t="n"/>
      <c r="H59" s="32" t="n"/>
      <c r="I59" s="37">
        <f>IF(B59="","",DATE(YEAR(B59),MONTH(B59),1))</f>
        <v/>
      </c>
    </row>
    <row r="60">
      <c r="B60" s="35" t="n"/>
      <c r="C60" s="32" t="n"/>
      <c r="D60" s="32" t="n"/>
      <c r="E60" s="32" t="n"/>
      <c r="F60" s="36" t="n"/>
      <c r="G60" s="32" t="n"/>
      <c r="H60" s="32" t="n"/>
      <c r="I60" s="37">
        <f>IF(B60="","",DATE(YEAR(B60),MONTH(B60),1))</f>
        <v/>
      </c>
    </row>
    <row r="61">
      <c r="B61" s="35" t="n"/>
      <c r="C61" s="32" t="n"/>
      <c r="D61" s="32" t="n"/>
      <c r="E61" s="32" t="n"/>
      <c r="F61" s="36" t="n"/>
      <c r="G61" s="32" t="n"/>
      <c r="H61" s="32" t="n"/>
      <c r="I61" s="37">
        <f>IF(B61="","",DATE(YEAR(B61),MONTH(B61),1))</f>
        <v/>
      </c>
    </row>
    <row r="62">
      <c r="B62" s="35" t="n"/>
      <c r="C62" s="32" t="n"/>
      <c r="D62" s="32" t="n"/>
      <c r="E62" s="32" t="n"/>
      <c r="F62" s="36" t="n"/>
      <c r="G62" s="32" t="n"/>
      <c r="H62" s="32" t="n"/>
      <c r="I62" s="37">
        <f>IF(B62="","",DATE(YEAR(B62),MONTH(B62),1))</f>
        <v/>
      </c>
    </row>
    <row r="63">
      <c r="B63" s="35" t="n"/>
      <c r="C63" s="32" t="n"/>
      <c r="D63" s="32" t="n"/>
      <c r="E63" s="32" t="n"/>
      <c r="F63" s="36" t="n"/>
      <c r="G63" s="32" t="n"/>
      <c r="H63" s="32" t="n"/>
      <c r="I63" s="37">
        <f>IF(B63="","",DATE(YEAR(B63),MONTH(B63),1))</f>
        <v/>
      </c>
    </row>
    <row r="64">
      <c r="B64" s="35" t="n"/>
      <c r="C64" s="32" t="n"/>
      <c r="D64" s="32" t="n"/>
      <c r="E64" s="32" t="n"/>
      <c r="F64" s="36" t="n"/>
      <c r="G64" s="32" t="n"/>
      <c r="H64" s="32" t="n"/>
      <c r="I64" s="37">
        <f>IF(B64="","",DATE(YEAR(B64),MONTH(B64),1))</f>
        <v/>
      </c>
    </row>
    <row r="65">
      <c r="B65" s="35" t="n"/>
      <c r="C65" s="32" t="n"/>
      <c r="D65" s="32" t="n"/>
      <c r="E65" s="32" t="n"/>
      <c r="F65" s="36" t="n"/>
      <c r="G65" s="32" t="n"/>
      <c r="H65" s="32" t="n"/>
      <c r="I65" s="37">
        <f>IF(B65="","",DATE(YEAR(B65),MONTH(B65),1))</f>
        <v/>
      </c>
    </row>
    <row r="66">
      <c r="B66" s="35" t="n"/>
      <c r="C66" s="32" t="n"/>
      <c r="D66" s="32" t="n"/>
      <c r="E66" s="32" t="n"/>
      <c r="F66" s="36" t="n"/>
      <c r="G66" s="32" t="n"/>
      <c r="H66" s="32" t="n"/>
      <c r="I66" s="37">
        <f>IF(B66="","",DATE(YEAR(B66),MONTH(B66),1))</f>
        <v/>
      </c>
    </row>
    <row r="67">
      <c r="B67" s="35" t="n"/>
      <c r="C67" s="32" t="n"/>
      <c r="D67" s="32" t="n"/>
      <c r="E67" s="32" t="n"/>
      <c r="F67" s="36" t="n"/>
      <c r="G67" s="32" t="n"/>
      <c r="H67" s="32" t="n"/>
      <c r="I67" s="37">
        <f>IF(B67="","",DATE(YEAR(B67),MONTH(B67),1))</f>
        <v/>
      </c>
    </row>
    <row r="68">
      <c r="B68" s="35" t="n"/>
      <c r="C68" s="32" t="n"/>
      <c r="D68" s="32" t="n"/>
      <c r="E68" s="32" t="n"/>
      <c r="F68" s="36" t="n"/>
      <c r="G68" s="32" t="n"/>
      <c r="H68" s="32" t="n"/>
      <c r="I68" s="37">
        <f>IF(B68="","",DATE(YEAR(B68),MONTH(B68),1))</f>
        <v/>
      </c>
    </row>
    <row r="69">
      <c r="B69" s="35" t="n"/>
      <c r="C69" s="32" t="n"/>
      <c r="D69" s="32" t="n"/>
      <c r="E69" s="32" t="n"/>
      <c r="F69" s="36" t="n"/>
      <c r="G69" s="32" t="n"/>
      <c r="H69" s="32" t="n"/>
      <c r="I69" s="37">
        <f>IF(B69="","",DATE(YEAR(B69),MONTH(B69),1))</f>
        <v/>
      </c>
    </row>
    <row r="70">
      <c r="B70" s="35" t="n"/>
      <c r="C70" s="32" t="n"/>
      <c r="D70" s="32" t="n"/>
      <c r="E70" s="32" t="n"/>
      <c r="F70" s="36" t="n"/>
      <c r="G70" s="32" t="n"/>
      <c r="H70" s="32" t="n"/>
      <c r="I70" s="37">
        <f>IF(B70="","",DATE(YEAR(B70),MONTH(B70),1))</f>
        <v/>
      </c>
    </row>
    <row r="71">
      <c r="B71" s="35" t="n"/>
      <c r="C71" s="32" t="n"/>
      <c r="D71" s="32" t="n"/>
      <c r="E71" s="32" t="n"/>
      <c r="F71" s="36" t="n"/>
      <c r="G71" s="32" t="n"/>
      <c r="H71" s="32" t="n"/>
      <c r="I71" s="37">
        <f>IF(B71="","",DATE(YEAR(B71),MONTH(B71),1))</f>
        <v/>
      </c>
    </row>
    <row r="72">
      <c r="B72" s="35" t="n"/>
      <c r="C72" s="32" t="n"/>
      <c r="D72" s="32" t="n"/>
      <c r="E72" s="32" t="n"/>
      <c r="F72" s="36" t="n"/>
      <c r="G72" s="32" t="n"/>
      <c r="H72" s="32" t="n"/>
      <c r="I72" s="37">
        <f>IF(B72="","",DATE(YEAR(B72),MONTH(B72),1))</f>
        <v/>
      </c>
    </row>
    <row r="73">
      <c r="B73" s="35" t="n"/>
      <c r="C73" s="32" t="n"/>
      <c r="D73" s="32" t="n"/>
      <c r="E73" s="32" t="n"/>
      <c r="F73" s="36" t="n"/>
      <c r="G73" s="32" t="n"/>
      <c r="H73" s="32" t="n"/>
      <c r="I73" s="37">
        <f>IF(B73="","",DATE(YEAR(B73),MONTH(B73),1))</f>
        <v/>
      </c>
    </row>
    <row r="74">
      <c r="B74" s="35" t="n"/>
      <c r="C74" s="32" t="n"/>
      <c r="D74" s="32" t="n"/>
      <c r="E74" s="32" t="n"/>
      <c r="F74" s="36" t="n"/>
      <c r="G74" s="32" t="n"/>
      <c r="H74" s="32" t="n"/>
      <c r="I74" s="37">
        <f>IF(B74="","",DATE(YEAR(B74),MONTH(B74),1))</f>
        <v/>
      </c>
    </row>
    <row r="75">
      <c r="B75" s="35" t="n"/>
      <c r="C75" s="32" t="n"/>
      <c r="D75" s="32" t="n"/>
      <c r="E75" s="32" t="n"/>
      <c r="F75" s="36" t="n"/>
      <c r="G75" s="32" t="n"/>
      <c r="H75" s="32" t="n"/>
      <c r="I75" s="37">
        <f>IF(B75="","",DATE(YEAR(B75),MONTH(B75),1))</f>
        <v/>
      </c>
    </row>
    <row r="76">
      <c r="B76" s="35" t="n"/>
      <c r="C76" s="32" t="n"/>
      <c r="D76" s="32" t="n"/>
      <c r="E76" s="32" t="n"/>
      <c r="F76" s="36" t="n"/>
      <c r="G76" s="32" t="n"/>
      <c r="H76" s="32" t="n"/>
      <c r="I76" s="37">
        <f>IF(B76="","",DATE(YEAR(B76),MONTH(B76),1))</f>
        <v/>
      </c>
    </row>
    <row r="77">
      <c r="B77" s="35" t="n"/>
      <c r="C77" s="32" t="n"/>
      <c r="D77" s="32" t="n"/>
      <c r="E77" s="32" t="n"/>
      <c r="F77" s="36" t="n"/>
      <c r="G77" s="32" t="n"/>
      <c r="H77" s="32" t="n"/>
      <c r="I77" s="37">
        <f>IF(B77="","",DATE(YEAR(B77),MONTH(B77),1))</f>
        <v/>
      </c>
    </row>
    <row r="78">
      <c r="B78" s="35" t="n"/>
      <c r="C78" s="32" t="n"/>
      <c r="D78" s="32" t="n"/>
      <c r="E78" s="32" t="n"/>
      <c r="F78" s="36" t="n"/>
      <c r="G78" s="32" t="n"/>
      <c r="H78" s="32" t="n"/>
      <c r="I78" s="37">
        <f>IF(B78="","",DATE(YEAR(B78),MONTH(B78),1))</f>
        <v/>
      </c>
    </row>
    <row r="79">
      <c r="B79" s="35" t="n"/>
      <c r="C79" s="32" t="n"/>
      <c r="D79" s="32" t="n"/>
      <c r="E79" s="32" t="n"/>
      <c r="F79" s="36" t="n"/>
      <c r="G79" s="32" t="n"/>
      <c r="H79" s="32" t="n"/>
      <c r="I79" s="37">
        <f>IF(B79="","",DATE(YEAR(B79),MONTH(B79),1))</f>
        <v/>
      </c>
    </row>
    <row r="80">
      <c r="B80" s="35" t="n"/>
      <c r="C80" s="32" t="n"/>
      <c r="D80" s="32" t="n"/>
      <c r="E80" s="32" t="n"/>
      <c r="F80" s="36" t="n"/>
      <c r="G80" s="32" t="n"/>
      <c r="H80" s="32" t="n"/>
      <c r="I80" s="37">
        <f>IF(B80="","",DATE(YEAR(B80),MONTH(B80),1))</f>
        <v/>
      </c>
    </row>
    <row r="81">
      <c r="B81" s="35" t="n"/>
      <c r="C81" s="32" t="n"/>
      <c r="D81" s="32" t="n"/>
      <c r="E81" s="32" t="n"/>
      <c r="F81" s="36" t="n"/>
      <c r="G81" s="32" t="n"/>
      <c r="H81" s="32" t="n"/>
      <c r="I81" s="37">
        <f>IF(B81="","",DATE(YEAR(B81),MONTH(B81),1))</f>
        <v/>
      </c>
    </row>
    <row r="82">
      <c r="B82" s="35" t="n"/>
      <c r="C82" s="32" t="n"/>
      <c r="D82" s="32" t="n"/>
      <c r="E82" s="32" t="n"/>
      <c r="F82" s="36" t="n"/>
      <c r="G82" s="32" t="n"/>
      <c r="H82" s="32" t="n"/>
      <c r="I82" s="37">
        <f>IF(B82="","",DATE(YEAR(B82),MONTH(B82),1))</f>
        <v/>
      </c>
    </row>
    <row r="83">
      <c r="B83" s="35" t="n"/>
      <c r="C83" s="32" t="n"/>
      <c r="D83" s="32" t="n"/>
      <c r="E83" s="32" t="n"/>
      <c r="F83" s="36" t="n"/>
      <c r="G83" s="32" t="n"/>
      <c r="H83" s="32" t="n"/>
      <c r="I83" s="37">
        <f>IF(B83="","",DATE(YEAR(B83),MONTH(B83),1))</f>
        <v/>
      </c>
    </row>
    <row r="84">
      <c r="B84" s="35" t="n"/>
      <c r="C84" s="32" t="n"/>
      <c r="D84" s="32" t="n"/>
      <c r="E84" s="32" t="n"/>
      <c r="F84" s="36" t="n"/>
      <c r="G84" s="32" t="n"/>
      <c r="H84" s="32" t="n"/>
      <c r="I84" s="37">
        <f>IF(B84="","",DATE(YEAR(B84),MONTH(B84),1))</f>
        <v/>
      </c>
    </row>
    <row r="85">
      <c r="B85" s="35" t="n"/>
      <c r="C85" s="32" t="n"/>
      <c r="D85" s="32" t="n"/>
      <c r="E85" s="32" t="n"/>
      <c r="F85" s="36" t="n"/>
      <c r="G85" s="32" t="n"/>
      <c r="H85" s="32" t="n"/>
      <c r="I85" s="37">
        <f>IF(B85="","",DATE(YEAR(B85),MONTH(B85),1))</f>
        <v/>
      </c>
    </row>
    <row r="86">
      <c r="B86" s="35" t="n"/>
      <c r="C86" s="32" t="n"/>
      <c r="D86" s="32" t="n"/>
      <c r="E86" s="32" t="n"/>
      <c r="F86" s="36" t="n"/>
      <c r="G86" s="32" t="n"/>
      <c r="H86" s="32" t="n"/>
      <c r="I86" s="37">
        <f>IF(B86="","",DATE(YEAR(B86),MONTH(B86),1))</f>
        <v/>
      </c>
    </row>
    <row r="87">
      <c r="B87" s="35" t="n"/>
      <c r="C87" s="32" t="n"/>
      <c r="D87" s="32" t="n"/>
      <c r="E87" s="32" t="n"/>
      <c r="F87" s="36" t="n"/>
      <c r="G87" s="32" t="n"/>
      <c r="H87" s="32" t="n"/>
      <c r="I87" s="37">
        <f>IF(B87="","",DATE(YEAR(B87),MONTH(B87),1))</f>
        <v/>
      </c>
    </row>
    <row r="88">
      <c r="B88" s="35" t="n"/>
      <c r="C88" s="32" t="n"/>
      <c r="D88" s="32" t="n"/>
      <c r="E88" s="32" t="n"/>
      <c r="F88" s="36" t="n"/>
      <c r="G88" s="32" t="n"/>
      <c r="H88" s="32" t="n"/>
      <c r="I88" s="37">
        <f>IF(B88="","",DATE(YEAR(B88),MONTH(B88),1))</f>
        <v/>
      </c>
    </row>
    <row r="89">
      <c r="B89" s="35" t="n"/>
      <c r="C89" s="32" t="n"/>
      <c r="D89" s="32" t="n"/>
      <c r="E89" s="32" t="n"/>
      <c r="F89" s="36" t="n"/>
      <c r="G89" s="32" t="n"/>
      <c r="H89" s="32" t="n"/>
      <c r="I89" s="37">
        <f>IF(B89="","",DATE(YEAR(B89),MONTH(B89),1))</f>
        <v/>
      </c>
    </row>
    <row r="90">
      <c r="B90" s="35" t="n"/>
      <c r="C90" s="32" t="n"/>
      <c r="D90" s="32" t="n"/>
      <c r="E90" s="32" t="n"/>
      <c r="F90" s="36" t="n"/>
      <c r="G90" s="32" t="n"/>
      <c r="H90" s="32" t="n"/>
      <c r="I90" s="37">
        <f>IF(B90="","",DATE(YEAR(B90),MONTH(B90),1))</f>
        <v/>
      </c>
    </row>
    <row r="91">
      <c r="B91" s="35" t="n"/>
      <c r="C91" s="32" t="n"/>
      <c r="D91" s="32" t="n"/>
      <c r="E91" s="32" t="n"/>
      <c r="F91" s="36" t="n"/>
      <c r="G91" s="32" t="n"/>
      <c r="H91" s="32" t="n"/>
      <c r="I91" s="37">
        <f>IF(B91="","",DATE(YEAR(B91),MONTH(B91),1))</f>
        <v/>
      </c>
    </row>
    <row r="92">
      <c r="B92" s="35" t="n"/>
      <c r="C92" s="32" t="n"/>
      <c r="D92" s="32" t="n"/>
      <c r="E92" s="32" t="n"/>
      <c r="F92" s="36" t="n"/>
      <c r="G92" s="32" t="n"/>
      <c r="H92" s="32" t="n"/>
      <c r="I92" s="37">
        <f>IF(B92="","",DATE(YEAR(B92),MONTH(B92),1))</f>
        <v/>
      </c>
    </row>
    <row r="93">
      <c r="B93" s="35" t="n"/>
      <c r="C93" s="32" t="n"/>
      <c r="D93" s="32" t="n"/>
      <c r="E93" s="32" t="n"/>
      <c r="F93" s="36" t="n"/>
      <c r="G93" s="32" t="n"/>
      <c r="H93" s="32" t="n"/>
      <c r="I93" s="37">
        <f>IF(B93="","",DATE(YEAR(B93),MONTH(B93),1))</f>
        <v/>
      </c>
    </row>
    <row r="94">
      <c r="B94" s="35" t="n"/>
      <c r="C94" s="32" t="n"/>
      <c r="D94" s="32" t="n"/>
      <c r="E94" s="32" t="n"/>
      <c r="F94" s="36" t="n"/>
      <c r="G94" s="32" t="n"/>
      <c r="H94" s="32" t="n"/>
      <c r="I94" s="37">
        <f>IF(B94="","",DATE(YEAR(B94),MONTH(B94),1))</f>
        <v/>
      </c>
    </row>
    <row r="95">
      <c r="B95" s="35" t="n"/>
      <c r="C95" s="32" t="n"/>
      <c r="D95" s="32" t="n"/>
      <c r="E95" s="32" t="n"/>
      <c r="F95" s="36" t="n"/>
      <c r="G95" s="32" t="n"/>
      <c r="H95" s="32" t="n"/>
      <c r="I95" s="37">
        <f>IF(B95="","",DATE(YEAR(B95),MONTH(B95),1))</f>
        <v/>
      </c>
    </row>
    <row r="96">
      <c r="B96" s="35" t="n"/>
      <c r="C96" s="32" t="n"/>
      <c r="D96" s="32" t="n"/>
      <c r="E96" s="32" t="n"/>
      <c r="F96" s="36" t="n"/>
      <c r="G96" s="32" t="n"/>
      <c r="H96" s="32" t="n"/>
      <c r="I96" s="37">
        <f>IF(B96="","",DATE(YEAR(B96),MONTH(B96),1))</f>
        <v/>
      </c>
    </row>
    <row r="97">
      <c r="B97" s="35" t="n"/>
      <c r="C97" s="32" t="n"/>
      <c r="D97" s="32" t="n"/>
      <c r="E97" s="32" t="n"/>
      <c r="F97" s="36" t="n"/>
      <c r="G97" s="32" t="n"/>
      <c r="H97" s="32" t="n"/>
      <c r="I97" s="37">
        <f>IF(B97="","",DATE(YEAR(B97),MONTH(B97),1))</f>
        <v/>
      </c>
    </row>
    <row r="98">
      <c r="B98" s="35" t="n"/>
      <c r="C98" s="32" t="n"/>
      <c r="D98" s="32" t="n"/>
      <c r="E98" s="32" t="n"/>
      <c r="F98" s="36" t="n"/>
      <c r="G98" s="32" t="n"/>
      <c r="H98" s="32" t="n"/>
      <c r="I98" s="37">
        <f>IF(B98="","",DATE(YEAR(B98),MONTH(B98),1))</f>
        <v/>
      </c>
    </row>
    <row r="99">
      <c r="B99" s="35" t="n"/>
      <c r="C99" s="32" t="n"/>
      <c r="D99" s="32" t="n"/>
      <c r="E99" s="32" t="n"/>
      <c r="F99" s="36" t="n"/>
      <c r="G99" s="32" t="n"/>
      <c r="H99" s="32" t="n"/>
      <c r="I99" s="37">
        <f>IF(B99="","",DATE(YEAR(B99),MONTH(B99),1))</f>
        <v/>
      </c>
    </row>
    <row r="100">
      <c r="B100" s="35" t="n"/>
      <c r="C100" s="32" t="n"/>
      <c r="D100" s="32" t="n"/>
      <c r="E100" s="32" t="n"/>
      <c r="F100" s="36" t="n"/>
      <c r="G100" s="32" t="n"/>
      <c r="H100" s="32" t="n"/>
      <c r="I100" s="37">
        <f>IF(B100="","",DATE(YEAR(B100),MONTH(B100),1))</f>
        <v/>
      </c>
    </row>
    <row r="101">
      <c r="B101" s="35" t="n"/>
      <c r="C101" s="32" t="n"/>
      <c r="D101" s="32" t="n"/>
      <c r="E101" s="32" t="n"/>
      <c r="F101" s="36" t="n"/>
      <c r="G101" s="32" t="n"/>
      <c r="H101" s="32" t="n"/>
      <c r="I101" s="37">
        <f>IF(B101="","",DATE(YEAR(B101),MONTH(B101),1))</f>
        <v/>
      </c>
    </row>
    <row r="102">
      <c r="B102" s="35" t="n"/>
      <c r="C102" s="32" t="n"/>
      <c r="D102" s="32" t="n"/>
      <c r="E102" s="32" t="n"/>
      <c r="F102" s="36" t="n"/>
      <c r="G102" s="32" t="n"/>
      <c r="H102" s="32" t="n"/>
      <c r="I102" s="37">
        <f>IF(B102="","",DATE(YEAR(B102),MONTH(B102),1))</f>
        <v/>
      </c>
    </row>
    <row r="103">
      <c r="B103" s="35" t="n"/>
      <c r="C103" s="32" t="n"/>
      <c r="D103" s="32" t="n"/>
      <c r="E103" s="32" t="n"/>
      <c r="F103" s="36" t="n"/>
      <c r="G103" s="32" t="n"/>
      <c r="H103" s="32" t="n"/>
      <c r="I103" s="37">
        <f>IF(B103="","",DATE(YEAR(B103),MONTH(B103),1))</f>
        <v/>
      </c>
    </row>
    <row r="104">
      <c r="B104" s="35" t="n"/>
      <c r="C104" s="32" t="n"/>
      <c r="D104" s="32" t="n"/>
      <c r="E104" s="32" t="n"/>
      <c r="F104" s="36" t="n"/>
      <c r="G104" s="32" t="n"/>
      <c r="H104" s="32" t="n"/>
      <c r="I104" s="37">
        <f>IF(B104="","",DATE(YEAR(B104),MONTH(B104),1))</f>
        <v/>
      </c>
    </row>
    <row r="105">
      <c r="B105" s="35" t="n"/>
      <c r="C105" s="32" t="n"/>
      <c r="D105" s="32" t="n"/>
      <c r="E105" s="32" t="n"/>
      <c r="F105" s="36" t="n"/>
      <c r="G105" s="32" t="n"/>
      <c r="H105" s="32" t="n"/>
      <c r="I105" s="37">
        <f>IF(B105="","",DATE(YEAR(B105),MONTH(B105),1))</f>
        <v/>
      </c>
    </row>
    <row r="106">
      <c r="B106" s="35" t="n"/>
      <c r="C106" s="32" t="n"/>
      <c r="D106" s="32" t="n"/>
      <c r="E106" s="32" t="n"/>
      <c r="F106" s="36" t="n"/>
      <c r="G106" s="32" t="n"/>
      <c r="H106" s="32" t="n"/>
      <c r="I106" s="37">
        <f>IF(B106="","",DATE(YEAR(B106),MONTH(B106),1))</f>
        <v/>
      </c>
    </row>
    <row r="107">
      <c r="B107" s="35" t="n"/>
      <c r="C107" s="32" t="n"/>
      <c r="D107" s="32" t="n"/>
      <c r="E107" s="32" t="n"/>
      <c r="F107" s="36" t="n"/>
      <c r="G107" s="32" t="n"/>
      <c r="H107" s="32" t="n"/>
      <c r="I107" s="37">
        <f>IF(B107="","",DATE(YEAR(B107),MONTH(B107),1))</f>
        <v/>
      </c>
    </row>
    <row r="108">
      <c r="B108" s="35" t="n"/>
      <c r="C108" s="32" t="n"/>
      <c r="D108" s="32" t="n"/>
      <c r="E108" s="32" t="n"/>
      <c r="F108" s="36" t="n"/>
      <c r="G108" s="32" t="n"/>
      <c r="H108" s="32" t="n"/>
      <c r="I108" s="37">
        <f>IF(B108="","",DATE(YEAR(B108),MONTH(B108),1))</f>
        <v/>
      </c>
    </row>
    <row r="109">
      <c r="B109" s="35" t="n"/>
      <c r="C109" s="32" t="n"/>
      <c r="D109" s="32" t="n"/>
      <c r="E109" s="32" t="n"/>
      <c r="F109" s="36" t="n"/>
      <c r="G109" s="32" t="n"/>
      <c r="H109" s="32" t="n"/>
      <c r="I109" s="37">
        <f>IF(B109="","",DATE(YEAR(B109),MONTH(B109),1))</f>
        <v/>
      </c>
    </row>
    <row r="110">
      <c r="B110" s="35" t="n"/>
      <c r="C110" s="32" t="n"/>
      <c r="D110" s="32" t="n"/>
      <c r="E110" s="32" t="n"/>
      <c r="F110" s="36" t="n"/>
      <c r="G110" s="32" t="n"/>
      <c r="H110" s="32" t="n"/>
      <c r="I110" s="37">
        <f>IF(B110="","",DATE(YEAR(B110),MONTH(B110),1))</f>
        <v/>
      </c>
    </row>
    <row r="111">
      <c r="B111" s="35" t="n"/>
      <c r="C111" s="32" t="n"/>
      <c r="D111" s="32" t="n"/>
      <c r="E111" s="32" t="n"/>
      <c r="F111" s="36" t="n"/>
      <c r="G111" s="32" t="n"/>
      <c r="H111" s="32" t="n"/>
      <c r="I111" s="37">
        <f>IF(B111="","",DATE(YEAR(B111),MONTH(B111),1))</f>
        <v/>
      </c>
    </row>
    <row r="112">
      <c r="B112" s="35" t="n"/>
      <c r="C112" s="32" t="n"/>
      <c r="D112" s="32" t="n"/>
      <c r="E112" s="32" t="n"/>
      <c r="F112" s="36" t="n"/>
      <c r="G112" s="32" t="n"/>
      <c r="H112" s="32" t="n"/>
      <c r="I112" s="37">
        <f>IF(B112="","",DATE(YEAR(B112),MONTH(B112),1))</f>
        <v/>
      </c>
    </row>
    <row r="113">
      <c r="B113" s="35" t="n"/>
      <c r="C113" s="32" t="n"/>
      <c r="D113" s="32" t="n"/>
      <c r="E113" s="32" t="n"/>
      <c r="F113" s="36" t="n"/>
      <c r="G113" s="32" t="n"/>
      <c r="H113" s="32" t="n"/>
      <c r="I113" s="37">
        <f>IF(B113="","",DATE(YEAR(B113),MONTH(B113),1))</f>
        <v/>
      </c>
    </row>
    <row r="114">
      <c r="B114" s="35" t="n"/>
      <c r="C114" s="32" t="n"/>
      <c r="D114" s="32" t="n"/>
      <c r="E114" s="32" t="n"/>
      <c r="F114" s="36" t="n"/>
      <c r="G114" s="32" t="n"/>
      <c r="H114" s="32" t="n"/>
      <c r="I114" s="37">
        <f>IF(B114="","",DATE(YEAR(B114),MONTH(B114),1))</f>
        <v/>
      </c>
    </row>
    <row r="115">
      <c r="B115" s="35" t="n"/>
      <c r="C115" s="32" t="n"/>
      <c r="D115" s="32" t="n"/>
      <c r="E115" s="32" t="n"/>
      <c r="F115" s="36" t="n"/>
      <c r="G115" s="32" t="n"/>
      <c r="H115" s="32" t="n"/>
      <c r="I115" s="37">
        <f>IF(B115="","",DATE(YEAR(B115),MONTH(B115),1))</f>
        <v/>
      </c>
    </row>
    <row r="116">
      <c r="B116" s="35" t="n"/>
      <c r="C116" s="32" t="n"/>
      <c r="D116" s="32" t="n"/>
      <c r="E116" s="32" t="n"/>
      <c r="F116" s="36" t="n"/>
      <c r="G116" s="32" t="n"/>
      <c r="H116" s="32" t="n"/>
      <c r="I116" s="37">
        <f>IF(B116="","",DATE(YEAR(B116),MONTH(B116),1))</f>
        <v/>
      </c>
    </row>
    <row r="117">
      <c r="B117" s="35" t="n"/>
      <c r="C117" s="32" t="n"/>
      <c r="D117" s="32" t="n"/>
      <c r="E117" s="32" t="n"/>
      <c r="F117" s="36" t="n"/>
      <c r="G117" s="32" t="n"/>
      <c r="H117" s="32" t="n"/>
      <c r="I117" s="37">
        <f>IF(B117="","",DATE(YEAR(B117),MONTH(B117),1))</f>
        <v/>
      </c>
    </row>
    <row r="118">
      <c r="B118" s="35" t="n"/>
      <c r="C118" s="32" t="n"/>
      <c r="D118" s="32" t="n"/>
      <c r="E118" s="32" t="n"/>
      <c r="F118" s="36" t="n"/>
      <c r="G118" s="32" t="n"/>
      <c r="H118" s="32" t="n"/>
      <c r="I118" s="37">
        <f>IF(B118="","",DATE(YEAR(B118),MONTH(B118),1))</f>
        <v/>
      </c>
    </row>
    <row r="119">
      <c r="B119" s="35" t="n"/>
      <c r="C119" s="32" t="n"/>
      <c r="D119" s="32" t="n"/>
      <c r="E119" s="32" t="n"/>
      <c r="F119" s="36" t="n"/>
      <c r="G119" s="32" t="n"/>
      <c r="H119" s="32" t="n"/>
      <c r="I119" s="37">
        <f>IF(B119="","",DATE(YEAR(B119),MONTH(B119),1))</f>
        <v/>
      </c>
    </row>
    <row r="120">
      <c r="B120" s="35" t="n"/>
      <c r="C120" s="32" t="n"/>
      <c r="D120" s="32" t="n"/>
      <c r="E120" s="32" t="n"/>
      <c r="F120" s="36" t="n"/>
      <c r="G120" s="32" t="n"/>
      <c r="H120" s="32" t="n"/>
      <c r="I120" s="37">
        <f>IF(B120="","",DATE(YEAR(B120),MONTH(B120),1))</f>
        <v/>
      </c>
    </row>
    <row r="121">
      <c r="B121" s="35" t="n"/>
      <c r="C121" s="32" t="n"/>
      <c r="D121" s="32" t="n"/>
      <c r="E121" s="32" t="n"/>
      <c r="F121" s="36" t="n"/>
      <c r="G121" s="32" t="n"/>
      <c r="H121" s="32" t="n"/>
      <c r="I121" s="37">
        <f>IF(B121="","",DATE(YEAR(B121),MONTH(B121),1))</f>
        <v/>
      </c>
    </row>
    <row r="122">
      <c r="B122" s="35" t="n"/>
      <c r="C122" s="32" t="n"/>
      <c r="D122" s="32" t="n"/>
      <c r="E122" s="32" t="n"/>
      <c r="F122" s="36" t="n"/>
      <c r="G122" s="32" t="n"/>
      <c r="H122" s="32" t="n"/>
      <c r="I122" s="37">
        <f>IF(B122="","",DATE(YEAR(B122),MONTH(B122),1))</f>
        <v/>
      </c>
    </row>
    <row r="123">
      <c r="B123" s="35" t="n"/>
      <c r="C123" s="32" t="n"/>
      <c r="D123" s="32" t="n"/>
      <c r="E123" s="32" t="n"/>
      <c r="F123" s="36" t="n"/>
      <c r="G123" s="32" t="n"/>
      <c r="H123" s="32" t="n"/>
      <c r="I123" s="37">
        <f>IF(B123="","",DATE(YEAR(B123),MONTH(B123),1))</f>
        <v/>
      </c>
    </row>
    <row r="124">
      <c r="B124" s="35" t="n"/>
      <c r="C124" s="32" t="n"/>
      <c r="D124" s="32" t="n"/>
      <c r="E124" s="32" t="n"/>
      <c r="F124" s="36" t="n"/>
      <c r="G124" s="32" t="n"/>
      <c r="H124" s="32" t="n"/>
      <c r="I124" s="37">
        <f>IF(B124="","",DATE(YEAR(B124),MONTH(B124),1))</f>
        <v/>
      </c>
    </row>
    <row r="125">
      <c r="B125" s="35" t="n"/>
      <c r="C125" s="32" t="n"/>
      <c r="D125" s="32" t="n"/>
      <c r="E125" s="32" t="n"/>
      <c r="F125" s="36" t="n"/>
      <c r="G125" s="32" t="n"/>
      <c r="H125" s="32" t="n"/>
      <c r="I125" s="37">
        <f>IF(B125="","",DATE(YEAR(B125),MONTH(B125),1))</f>
        <v/>
      </c>
    </row>
    <row r="126">
      <c r="B126" s="35" t="n"/>
      <c r="C126" s="32" t="n"/>
      <c r="D126" s="32" t="n"/>
      <c r="E126" s="32" t="n"/>
      <c r="F126" s="36" t="n"/>
      <c r="G126" s="32" t="n"/>
      <c r="H126" s="32" t="n"/>
      <c r="I126" s="37">
        <f>IF(B126="","",DATE(YEAR(B126),MONTH(B126),1))</f>
        <v/>
      </c>
    </row>
    <row r="127">
      <c r="B127" s="35" t="n"/>
      <c r="C127" s="32" t="n"/>
      <c r="D127" s="32" t="n"/>
      <c r="E127" s="32" t="n"/>
      <c r="F127" s="36" t="n"/>
      <c r="G127" s="32" t="n"/>
      <c r="H127" s="32" t="n"/>
      <c r="I127" s="37">
        <f>IF(B127="","",DATE(YEAR(B127),MONTH(B127),1))</f>
        <v/>
      </c>
    </row>
    <row r="128">
      <c r="B128" s="35" t="n"/>
      <c r="C128" s="32" t="n"/>
      <c r="D128" s="32" t="n"/>
      <c r="E128" s="32" t="n"/>
      <c r="F128" s="36" t="n"/>
      <c r="G128" s="32" t="n"/>
      <c r="H128" s="32" t="n"/>
      <c r="I128" s="37">
        <f>IF(B128="","",DATE(YEAR(B128),MONTH(B128),1))</f>
        <v/>
      </c>
    </row>
    <row r="129">
      <c r="B129" s="35" t="n"/>
      <c r="C129" s="32" t="n"/>
      <c r="D129" s="32" t="n"/>
      <c r="E129" s="32" t="n"/>
      <c r="F129" s="36" t="n"/>
      <c r="G129" s="32" t="n"/>
      <c r="H129" s="32" t="n"/>
      <c r="I129" s="37">
        <f>IF(B129="","",DATE(YEAR(B129),MONTH(B129),1))</f>
        <v/>
      </c>
    </row>
    <row r="130">
      <c r="B130" s="35" t="n"/>
      <c r="C130" s="32" t="n"/>
      <c r="D130" s="32" t="n"/>
      <c r="E130" s="32" t="n"/>
      <c r="F130" s="36" t="n"/>
      <c r="G130" s="32" t="n"/>
      <c r="H130" s="32" t="n"/>
      <c r="I130" s="37">
        <f>IF(B130="","",DATE(YEAR(B130),MONTH(B130),1))</f>
        <v/>
      </c>
    </row>
    <row r="131">
      <c r="B131" s="35" t="n"/>
      <c r="C131" s="32" t="n"/>
      <c r="D131" s="32" t="n"/>
      <c r="E131" s="32" t="n"/>
      <c r="F131" s="36" t="n"/>
      <c r="G131" s="32" t="n"/>
      <c r="H131" s="32" t="n"/>
      <c r="I131" s="37">
        <f>IF(B131="","",DATE(YEAR(B131),MONTH(B131),1))</f>
        <v/>
      </c>
    </row>
    <row r="132">
      <c r="B132" s="35" t="n"/>
      <c r="C132" s="32" t="n"/>
      <c r="D132" s="32" t="n"/>
      <c r="E132" s="32" t="n"/>
      <c r="F132" s="36" t="n"/>
      <c r="G132" s="32" t="n"/>
      <c r="H132" s="32" t="n"/>
      <c r="I132" s="37">
        <f>IF(B132="","",DATE(YEAR(B132),MONTH(B132),1))</f>
        <v/>
      </c>
    </row>
    <row r="133">
      <c r="B133" s="35" t="n"/>
      <c r="C133" s="32" t="n"/>
      <c r="D133" s="32" t="n"/>
      <c r="E133" s="32" t="n"/>
      <c r="F133" s="36" t="n"/>
      <c r="G133" s="32" t="n"/>
      <c r="H133" s="32" t="n"/>
      <c r="I133" s="37">
        <f>IF(B133="","",DATE(YEAR(B133),MONTH(B133),1))</f>
        <v/>
      </c>
    </row>
    <row r="134">
      <c r="B134" s="35" t="n"/>
      <c r="C134" s="32" t="n"/>
      <c r="D134" s="32" t="n"/>
      <c r="E134" s="32" t="n"/>
      <c r="F134" s="36" t="n"/>
      <c r="G134" s="32" t="n"/>
      <c r="H134" s="32" t="n"/>
      <c r="I134" s="37">
        <f>IF(B134="","",DATE(YEAR(B134),MONTH(B134),1))</f>
        <v/>
      </c>
    </row>
    <row r="135">
      <c r="B135" s="35" t="n"/>
      <c r="C135" s="32" t="n"/>
      <c r="D135" s="32" t="n"/>
      <c r="E135" s="32" t="n"/>
      <c r="F135" s="36" t="n"/>
      <c r="G135" s="32" t="n"/>
      <c r="H135" s="32" t="n"/>
      <c r="I135" s="37">
        <f>IF(B135="","",DATE(YEAR(B135),MONTH(B135),1))</f>
        <v/>
      </c>
    </row>
    <row r="136">
      <c r="B136" s="35" t="n"/>
      <c r="C136" s="32" t="n"/>
      <c r="D136" s="32" t="n"/>
      <c r="E136" s="32" t="n"/>
      <c r="F136" s="36" t="n"/>
      <c r="G136" s="32" t="n"/>
      <c r="H136" s="32" t="n"/>
      <c r="I136" s="37">
        <f>IF(B136="","",DATE(YEAR(B136),MONTH(B136),1))</f>
        <v/>
      </c>
    </row>
    <row r="137">
      <c r="B137" s="35" t="n"/>
      <c r="C137" s="32" t="n"/>
      <c r="D137" s="32" t="n"/>
      <c r="E137" s="32" t="n"/>
      <c r="F137" s="36" t="n"/>
      <c r="G137" s="32" t="n"/>
      <c r="H137" s="32" t="n"/>
      <c r="I137" s="37">
        <f>IF(B137="","",DATE(YEAR(B137),MONTH(B137),1))</f>
        <v/>
      </c>
    </row>
    <row r="138">
      <c r="B138" s="35" t="n"/>
      <c r="C138" s="32" t="n"/>
      <c r="D138" s="32" t="n"/>
      <c r="E138" s="32" t="n"/>
      <c r="F138" s="36" t="n"/>
      <c r="G138" s="32" t="n"/>
      <c r="H138" s="32" t="n"/>
      <c r="I138" s="37">
        <f>IF(B138="","",DATE(YEAR(B138),MONTH(B138),1))</f>
        <v/>
      </c>
    </row>
    <row r="139">
      <c r="B139" s="35" t="n"/>
      <c r="C139" s="32" t="n"/>
      <c r="D139" s="32" t="n"/>
      <c r="E139" s="32" t="n"/>
      <c r="F139" s="36" t="n"/>
      <c r="G139" s="32" t="n"/>
      <c r="H139" s="32" t="n"/>
      <c r="I139" s="37">
        <f>IF(B139="","",DATE(YEAR(B139),MONTH(B139),1))</f>
        <v/>
      </c>
    </row>
    <row r="140">
      <c r="B140" s="35" t="n"/>
      <c r="C140" s="32" t="n"/>
      <c r="D140" s="32" t="n"/>
      <c r="E140" s="32" t="n"/>
      <c r="F140" s="36" t="n"/>
      <c r="G140" s="32" t="n"/>
      <c r="H140" s="32" t="n"/>
      <c r="I140" s="37">
        <f>IF(B140="","",DATE(YEAR(B140),MONTH(B140),1))</f>
        <v/>
      </c>
    </row>
    <row r="141">
      <c r="B141" s="35" t="n"/>
      <c r="C141" s="32" t="n"/>
      <c r="D141" s="32" t="n"/>
      <c r="E141" s="32" t="n"/>
      <c r="F141" s="36" t="n"/>
      <c r="G141" s="32" t="n"/>
      <c r="H141" s="32" t="n"/>
      <c r="I141" s="37">
        <f>IF(B141="","",DATE(YEAR(B141),MONTH(B141),1))</f>
        <v/>
      </c>
    </row>
    <row r="142">
      <c r="B142" s="35" t="n"/>
      <c r="C142" s="32" t="n"/>
      <c r="D142" s="32" t="n"/>
      <c r="E142" s="32" t="n"/>
      <c r="F142" s="36" t="n"/>
      <c r="G142" s="32" t="n"/>
      <c r="H142" s="32" t="n"/>
      <c r="I142" s="37">
        <f>IF(B142="","",DATE(YEAR(B142),MONTH(B142),1))</f>
        <v/>
      </c>
    </row>
    <row r="143">
      <c r="B143" s="35" t="n"/>
      <c r="C143" s="32" t="n"/>
      <c r="D143" s="32" t="n"/>
      <c r="E143" s="32" t="n"/>
      <c r="F143" s="36" t="n"/>
      <c r="G143" s="32" t="n"/>
      <c r="H143" s="32" t="n"/>
      <c r="I143" s="37">
        <f>IF(B143="","",DATE(YEAR(B143),MONTH(B143),1))</f>
        <v/>
      </c>
    </row>
    <row r="144">
      <c r="B144" s="35" t="n"/>
      <c r="C144" s="32" t="n"/>
      <c r="D144" s="32" t="n"/>
      <c r="E144" s="32" t="n"/>
      <c r="F144" s="36" t="n"/>
      <c r="G144" s="32" t="n"/>
      <c r="H144" s="32" t="n"/>
      <c r="I144" s="37">
        <f>IF(B144="","",DATE(YEAR(B144),MONTH(B144),1))</f>
        <v/>
      </c>
    </row>
    <row r="145">
      <c r="B145" s="35" t="n"/>
      <c r="C145" s="32" t="n"/>
      <c r="D145" s="32" t="n"/>
      <c r="E145" s="32" t="n"/>
      <c r="F145" s="36" t="n"/>
      <c r="G145" s="32" t="n"/>
      <c r="H145" s="32" t="n"/>
      <c r="I145" s="37">
        <f>IF(B145="","",DATE(YEAR(B145),MONTH(B145),1))</f>
        <v/>
      </c>
    </row>
    <row r="146">
      <c r="B146" s="35" t="n"/>
      <c r="C146" s="32" t="n"/>
      <c r="D146" s="32" t="n"/>
      <c r="E146" s="32" t="n"/>
      <c r="F146" s="36" t="n"/>
      <c r="G146" s="32" t="n"/>
      <c r="H146" s="32" t="n"/>
      <c r="I146" s="37">
        <f>IF(B146="","",DATE(YEAR(B146),MONTH(B146),1))</f>
        <v/>
      </c>
    </row>
    <row r="147">
      <c r="B147" s="35" t="n"/>
      <c r="C147" s="32" t="n"/>
      <c r="D147" s="32" t="n"/>
      <c r="E147" s="32" t="n"/>
      <c r="F147" s="36" t="n"/>
      <c r="G147" s="32" t="n"/>
      <c r="H147" s="32" t="n"/>
      <c r="I147" s="37">
        <f>IF(B147="","",DATE(YEAR(B147),MONTH(B147),1))</f>
        <v/>
      </c>
    </row>
    <row r="148">
      <c r="B148" s="35" t="n"/>
      <c r="C148" s="32" t="n"/>
      <c r="D148" s="32" t="n"/>
      <c r="E148" s="32" t="n"/>
      <c r="F148" s="36" t="n"/>
      <c r="G148" s="32" t="n"/>
      <c r="H148" s="32" t="n"/>
      <c r="I148" s="37">
        <f>IF(B148="","",DATE(YEAR(B148),MONTH(B148),1))</f>
        <v/>
      </c>
    </row>
    <row r="149">
      <c r="B149" s="35" t="n"/>
      <c r="C149" s="32" t="n"/>
      <c r="D149" s="32" t="n"/>
      <c r="E149" s="32" t="n"/>
      <c r="F149" s="36" t="n"/>
      <c r="G149" s="32" t="n"/>
      <c r="H149" s="32" t="n"/>
      <c r="I149" s="37">
        <f>IF(B149="","",DATE(YEAR(B149),MONTH(B149),1))</f>
        <v/>
      </c>
    </row>
    <row r="150">
      <c r="B150" s="35" t="n"/>
      <c r="C150" s="32" t="n"/>
      <c r="D150" s="32" t="n"/>
      <c r="E150" s="32" t="n"/>
      <c r="F150" s="36" t="n"/>
      <c r="G150" s="32" t="n"/>
      <c r="H150" s="32" t="n"/>
      <c r="I150" s="37">
        <f>IF(B150="","",DATE(YEAR(B150),MONTH(B150),1))</f>
        <v/>
      </c>
    </row>
    <row r="151">
      <c r="B151" s="35" t="n"/>
      <c r="C151" s="32" t="n"/>
      <c r="D151" s="32" t="n"/>
      <c r="E151" s="32" t="n"/>
      <c r="F151" s="36" t="n"/>
      <c r="G151" s="32" t="n"/>
      <c r="H151" s="32" t="n"/>
      <c r="I151" s="37">
        <f>IF(B151="","",DATE(YEAR(B151),MONTH(B151),1))</f>
        <v/>
      </c>
    </row>
    <row r="152">
      <c r="B152" s="35" t="n"/>
      <c r="C152" s="32" t="n"/>
      <c r="D152" s="32" t="n"/>
      <c r="E152" s="32" t="n"/>
      <c r="F152" s="36" t="n"/>
      <c r="G152" s="32" t="n"/>
      <c r="H152" s="32" t="n"/>
      <c r="I152" s="37">
        <f>IF(B152="","",DATE(YEAR(B152),MONTH(B152),1))</f>
        <v/>
      </c>
    </row>
    <row r="153">
      <c r="B153" s="35" t="n"/>
      <c r="C153" s="32" t="n"/>
      <c r="D153" s="32" t="n"/>
      <c r="E153" s="32" t="n"/>
      <c r="F153" s="36" t="n"/>
      <c r="G153" s="32" t="n"/>
      <c r="H153" s="32" t="n"/>
      <c r="I153" s="37">
        <f>IF(B153="","",DATE(YEAR(B153),MONTH(B153),1))</f>
        <v/>
      </c>
    </row>
    <row r="154">
      <c r="B154" s="35" t="n"/>
      <c r="C154" s="32" t="n"/>
      <c r="D154" s="32" t="n"/>
      <c r="E154" s="32" t="n"/>
      <c r="F154" s="36" t="n"/>
      <c r="G154" s="32" t="n"/>
      <c r="H154" s="32" t="n"/>
      <c r="I154" s="37">
        <f>IF(B154="","",DATE(YEAR(B154),MONTH(B154),1))</f>
        <v/>
      </c>
    </row>
    <row r="155">
      <c r="B155" s="35" t="n"/>
      <c r="C155" s="32" t="n"/>
      <c r="D155" s="32" t="n"/>
      <c r="E155" s="32" t="n"/>
      <c r="F155" s="36" t="n"/>
      <c r="G155" s="32" t="n"/>
      <c r="H155" s="32" t="n"/>
      <c r="I155" s="37">
        <f>IF(B155="","",DATE(YEAR(B155),MONTH(B155),1))</f>
        <v/>
      </c>
    </row>
    <row r="156">
      <c r="B156" s="35" t="n"/>
      <c r="C156" s="32" t="n"/>
      <c r="D156" s="32" t="n"/>
      <c r="E156" s="32" t="n"/>
      <c r="F156" s="36" t="n"/>
      <c r="G156" s="32" t="n"/>
      <c r="H156" s="32" t="n"/>
      <c r="I156" s="37">
        <f>IF(B156="","",DATE(YEAR(B156),MONTH(B156),1))</f>
        <v/>
      </c>
    </row>
    <row r="157">
      <c r="B157" s="35" t="n"/>
      <c r="C157" s="32" t="n"/>
      <c r="D157" s="32" t="n"/>
      <c r="E157" s="32" t="n"/>
      <c r="F157" s="36" t="n"/>
      <c r="G157" s="32" t="n"/>
      <c r="H157" s="32" t="n"/>
      <c r="I157" s="37">
        <f>IF(B157="","",DATE(YEAR(B157),MONTH(B157),1))</f>
        <v/>
      </c>
    </row>
    <row r="158">
      <c r="B158" s="35" t="n"/>
      <c r="C158" s="32" t="n"/>
      <c r="D158" s="32" t="n"/>
      <c r="E158" s="32" t="n"/>
      <c r="F158" s="36" t="n"/>
      <c r="G158" s="32" t="n"/>
      <c r="H158" s="32" t="n"/>
      <c r="I158" s="37">
        <f>IF(B158="","",DATE(YEAR(B158),MONTH(B158),1))</f>
        <v/>
      </c>
    </row>
    <row r="159">
      <c r="B159" s="35" t="n"/>
      <c r="C159" s="32" t="n"/>
      <c r="D159" s="32" t="n"/>
      <c r="E159" s="32" t="n"/>
      <c r="F159" s="36" t="n"/>
      <c r="G159" s="32" t="n"/>
      <c r="H159" s="32" t="n"/>
      <c r="I159" s="37">
        <f>IF(B159="","",DATE(YEAR(B159),MONTH(B159),1))</f>
        <v/>
      </c>
    </row>
    <row r="160">
      <c r="B160" s="35" t="n"/>
      <c r="C160" s="32" t="n"/>
      <c r="D160" s="32" t="n"/>
      <c r="E160" s="32" t="n"/>
      <c r="F160" s="36" t="n"/>
      <c r="G160" s="32" t="n"/>
      <c r="H160" s="32" t="n"/>
      <c r="I160" s="37">
        <f>IF(B160="","",DATE(YEAR(B160),MONTH(B160),1))</f>
        <v/>
      </c>
    </row>
    <row r="161">
      <c r="B161" s="35" t="n"/>
      <c r="C161" s="32" t="n"/>
      <c r="D161" s="32" t="n"/>
      <c r="E161" s="32" t="n"/>
      <c r="F161" s="36" t="n"/>
      <c r="G161" s="32" t="n"/>
      <c r="H161" s="32" t="n"/>
      <c r="I161" s="37">
        <f>IF(B161="","",DATE(YEAR(B161),MONTH(B161),1))</f>
        <v/>
      </c>
    </row>
    <row r="162">
      <c r="B162" s="35" t="n"/>
      <c r="C162" s="32" t="n"/>
      <c r="D162" s="32" t="n"/>
      <c r="E162" s="32" t="n"/>
      <c r="F162" s="36" t="n"/>
      <c r="G162" s="32" t="n"/>
      <c r="H162" s="32" t="n"/>
      <c r="I162" s="37">
        <f>IF(B162="","",DATE(YEAR(B162),MONTH(B162),1))</f>
        <v/>
      </c>
    </row>
    <row r="163">
      <c r="B163" s="35" t="n"/>
      <c r="C163" s="32" t="n"/>
      <c r="D163" s="32" t="n"/>
      <c r="E163" s="32" t="n"/>
      <c r="F163" s="36" t="n"/>
      <c r="G163" s="32" t="n"/>
      <c r="H163" s="32" t="n"/>
      <c r="I163" s="37">
        <f>IF(B163="","",DATE(YEAR(B163),MONTH(B163),1))</f>
        <v/>
      </c>
    </row>
    <row r="164">
      <c r="B164" s="35" t="n"/>
      <c r="C164" s="32" t="n"/>
      <c r="D164" s="32" t="n"/>
      <c r="E164" s="32" t="n"/>
      <c r="F164" s="36" t="n"/>
      <c r="G164" s="32" t="n"/>
      <c r="H164" s="32" t="n"/>
      <c r="I164" s="37">
        <f>IF(B164="","",DATE(YEAR(B164),MONTH(B164),1))</f>
        <v/>
      </c>
    </row>
    <row r="165">
      <c r="B165" s="35" t="n"/>
      <c r="C165" s="32" t="n"/>
      <c r="D165" s="32" t="n"/>
      <c r="E165" s="32" t="n"/>
      <c r="F165" s="36" t="n"/>
      <c r="G165" s="32" t="n"/>
      <c r="H165" s="32" t="n"/>
      <c r="I165" s="37">
        <f>IF(B165="","",DATE(YEAR(B165),MONTH(B165),1))</f>
        <v/>
      </c>
    </row>
    <row r="166">
      <c r="B166" s="35" t="n"/>
      <c r="C166" s="32" t="n"/>
      <c r="D166" s="32" t="n"/>
      <c r="E166" s="32" t="n"/>
      <c r="F166" s="36" t="n"/>
      <c r="G166" s="32" t="n"/>
      <c r="H166" s="32" t="n"/>
      <c r="I166" s="37">
        <f>IF(B166="","",DATE(YEAR(B166),MONTH(B166),1))</f>
        <v/>
      </c>
    </row>
    <row r="167">
      <c r="B167" s="35" t="n"/>
      <c r="C167" s="32" t="n"/>
      <c r="D167" s="32" t="n"/>
      <c r="E167" s="32" t="n"/>
      <c r="F167" s="36" t="n"/>
      <c r="G167" s="32" t="n"/>
      <c r="H167" s="32" t="n"/>
      <c r="I167" s="37">
        <f>IF(B167="","",DATE(YEAR(B167),MONTH(B167),1))</f>
        <v/>
      </c>
    </row>
    <row r="168">
      <c r="B168" s="35" t="n"/>
      <c r="C168" s="32" t="n"/>
      <c r="D168" s="32" t="n"/>
      <c r="E168" s="32" t="n"/>
      <c r="F168" s="36" t="n"/>
      <c r="G168" s="32" t="n"/>
      <c r="H168" s="32" t="n"/>
      <c r="I168" s="37">
        <f>IF(B168="","",DATE(YEAR(B168),MONTH(B168),1))</f>
        <v/>
      </c>
    </row>
    <row r="169">
      <c r="B169" s="35" t="n"/>
      <c r="C169" s="32" t="n"/>
      <c r="D169" s="32" t="n"/>
      <c r="E169" s="32" t="n"/>
      <c r="F169" s="36" t="n"/>
      <c r="G169" s="32" t="n"/>
      <c r="H169" s="32" t="n"/>
      <c r="I169" s="37">
        <f>IF(B169="","",DATE(YEAR(B169),MONTH(B169),1))</f>
        <v/>
      </c>
    </row>
    <row r="170">
      <c r="B170" s="35" t="n"/>
      <c r="C170" s="32" t="n"/>
      <c r="D170" s="32" t="n"/>
      <c r="E170" s="32" t="n"/>
      <c r="F170" s="36" t="n"/>
      <c r="G170" s="32" t="n"/>
      <c r="H170" s="32" t="n"/>
      <c r="I170" s="37">
        <f>IF(B170="","",DATE(YEAR(B170),MONTH(B170),1))</f>
        <v/>
      </c>
    </row>
    <row r="171">
      <c r="B171" s="35" t="n"/>
      <c r="C171" s="32" t="n"/>
      <c r="D171" s="32" t="n"/>
      <c r="E171" s="32" t="n"/>
      <c r="F171" s="36" t="n"/>
      <c r="G171" s="32" t="n"/>
      <c r="H171" s="32" t="n"/>
      <c r="I171" s="37">
        <f>IF(B171="","",DATE(YEAR(B171),MONTH(B171),1))</f>
        <v/>
      </c>
    </row>
    <row r="172">
      <c r="B172" s="35" t="n"/>
      <c r="C172" s="32" t="n"/>
      <c r="D172" s="32" t="n"/>
      <c r="E172" s="32" t="n"/>
      <c r="F172" s="36" t="n"/>
      <c r="G172" s="32" t="n"/>
      <c r="H172" s="32" t="n"/>
      <c r="I172" s="37">
        <f>IF(B172="","",DATE(YEAR(B172),MONTH(B172),1))</f>
        <v/>
      </c>
    </row>
    <row r="173">
      <c r="B173" s="35" t="n"/>
      <c r="C173" s="32" t="n"/>
      <c r="D173" s="32" t="n"/>
      <c r="E173" s="32" t="n"/>
      <c r="F173" s="36" t="n"/>
      <c r="G173" s="32" t="n"/>
      <c r="H173" s="32" t="n"/>
      <c r="I173" s="37">
        <f>IF(B173="","",DATE(YEAR(B173),MONTH(B173),1))</f>
        <v/>
      </c>
    </row>
    <row r="174">
      <c r="B174" s="35" t="n"/>
      <c r="C174" s="32" t="n"/>
      <c r="D174" s="32" t="n"/>
      <c r="E174" s="32" t="n"/>
      <c r="F174" s="36" t="n"/>
      <c r="G174" s="32" t="n"/>
      <c r="H174" s="32" t="n"/>
      <c r="I174" s="37">
        <f>IF(B174="","",DATE(YEAR(B174),MONTH(B174),1))</f>
        <v/>
      </c>
    </row>
    <row r="175">
      <c r="B175" s="35" t="n"/>
      <c r="C175" s="32" t="n"/>
      <c r="D175" s="32" t="n"/>
      <c r="E175" s="32" t="n"/>
      <c r="F175" s="36" t="n"/>
      <c r="G175" s="32" t="n"/>
      <c r="H175" s="32" t="n"/>
      <c r="I175" s="37">
        <f>IF(B175="","",DATE(YEAR(B175),MONTH(B175),1))</f>
        <v/>
      </c>
    </row>
    <row r="176">
      <c r="B176" s="35" t="n"/>
      <c r="C176" s="32" t="n"/>
      <c r="D176" s="32" t="n"/>
      <c r="E176" s="32" t="n"/>
      <c r="F176" s="36" t="n"/>
      <c r="G176" s="32" t="n"/>
      <c r="H176" s="32" t="n"/>
      <c r="I176" s="37">
        <f>IF(B176="","",DATE(YEAR(B176),MONTH(B176),1))</f>
        <v/>
      </c>
    </row>
    <row r="177">
      <c r="B177" s="35" t="n"/>
      <c r="C177" s="32" t="n"/>
      <c r="D177" s="32" t="n"/>
      <c r="E177" s="32" t="n"/>
      <c r="F177" s="36" t="n"/>
      <c r="G177" s="32" t="n"/>
      <c r="H177" s="32" t="n"/>
      <c r="I177" s="37">
        <f>IF(B177="","",DATE(YEAR(B177),MONTH(B177),1))</f>
        <v/>
      </c>
    </row>
    <row r="178">
      <c r="B178" s="35" t="n"/>
      <c r="C178" s="32" t="n"/>
      <c r="D178" s="32" t="n"/>
      <c r="E178" s="32" t="n"/>
      <c r="F178" s="36" t="n"/>
      <c r="G178" s="32" t="n"/>
      <c r="H178" s="32" t="n"/>
      <c r="I178" s="37">
        <f>IF(B178="","",DATE(YEAR(B178),MONTH(B178),1))</f>
        <v/>
      </c>
    </row>
    <row r="179">
      <c r="B179" s="35" t="n"/>
      <c r="C179" s="32" t="n"/>
      <c r="D179" s="32" t="n"/>
      <c r="E179" s="32" t="n"/>
      <c r="F179" s="36" t="n"/>
      <c r="G179" s="32" t="n"/>
      <c r="H179" s="32" t="n"/>
      <c r="I179" s="37">
        <f>IF(B179="","",DATE(YEAR(B179),MONTH(B179),1))</f>
        <v/>
      </c>
    </row>
    <row r="180">
      <c r="B180" s="35" t="n"/>
      <c r="C180" s="32" t="n"/>
      <c r="D180" s="32" t="n"/>
      <c r="E180" s="32" t="n"/>
      <c r="F180" s="36" t="n"/>
      <c r="G180" s="32" t="n"/>
      <c r="H180" s="32" t="n"/>
      <c r="I180" s="37">
        <f>IF(B180="","",DATE(YEAR(B180),MONTH(B180),1))</f>
        <v/>
      </c>
    </row>
    <row r="181">
      <c r="B181" s="35" t="n"/>
      <c r="C181" s="32" t="n"/>
      <c r="D181" s="32" t="n"/>
      <c r="E181" s="32" t="n"/>
      <c r="F181" s="36" t="n"/>
      <c r="G181" s="32" t="n"/>
      <c r="H181" s="32" t="n"/>
      <c r="I181" s="37">
        <f>IF(B181="","",DATE(YEAR(B181),MONTH(B181),1))</f>
        <v/>
      </c>
    </row>
    <row r="182">
      <c r="B182" s="35" t="n"/>
      <c r="C182" s="32" t="n"/>
      <c r="D182" s="32" t="n"/>
      <c r="E182" s="32" t="n"/>
      <c r="F182" s="36" t="n"/>
      <c r="G182" s="32" t="n"/>
      <c r="H182" s="32" t="n"/>
      <c r="I182" s="37">
        <f>IF(B182="","",DATE(YEAR(B182),MONTH(B182),1))</f>
        <v/>
      </c>
    </row>
    <row r="183">
      <c r="B183" s="35" t="n"/>
      <c r="C183" s="32" t="n"/>
      <c r="D183" s="32" t="n"/>
      <c r="E183" s="32" t="n"/>
      <c r="F183" s="36" t="n"/>
      <c r="G183" s="32" t="n"/>
      <c r="H183" s="32" t="n"/>
      <c r="I183" s="37">
        <f>IF(B183="","",DATE(YEAR(B183),MONTH(B183),1))</f>
        <v/>
      </c>
    </row>
    <row r="184">
      <c r="B184" s="35" t="n"/>
      <c r="C184" s="32" t="n"/>
      <c r="D184" s="32" t="n"/>
      <c r="E184" s="32" t="n"/>
      <c r="F184" s="36" t="n"/>
      <c r="G184" s="32" t="n"/>
      <c r="H184" s="32" t="n"/>
      <c r="I184" s="37">
        <f>IF(B184="","",DATE(YEAR(B184),MONTH(B184),1))</f>
        <v/>
      </c>
    </row>
    <row r="185">
      <c r="B185" s="35" t="n"/>
      <c r="C185" s="32" t="n"/>
      <c r="D185" s="32" t="n"/>
      <c r="E185" s="32" t="n"/>
      <c r="F185" s="36" t="n"/>
      <c r="G185" s="32" t="n"/>
      <c r="H185" s="32" t="n"/>
      <c r="I185" s="37">
        <f>IF(B185="","",DATE(YEAR(B185),MONTH(B185),1))</f>
        <v/>
      </c>
    </row>
    <row r="186">
      <c r="B186" s="35" t="n"/>
      <c r="C186" s="32" t="n"/>
      <c r="D186" s="32" t="n"/>
      <c r="E186" s="32" t="n"/>
      <c r="F186" s="36" t="n"/>
      <c r="G186" s="32" t="n"/>
      <c r="H186" s="32" t="n"/>
      <c r="I186" s="37">
        <f>IF(B186="","",DATE(YEAR(B186),MONTH(B186),1))</f>
        <v/>
      </c>
    </row>
    <row r="187">
      <c r="B187" s="35" t="n"/>
      <c r="C187" s="32" t="n"/>
      <c r="D187" s="32" t="n"/>
      <c r="E187" s="32" t="n"/>
      <c r="F187" s="36" t="n"/>
      <c r="G187" s="32" t="n"/>
      <c r="H187" s="32" t="n"/>
      <c r="I187" s="37">
        <f>IF(B187="","",DATE(YEAR(B187),MONTH(B187),1))</f>
        <v/>
      </c>
    </row>
    <row r="188">
      <c r="B188" s="35" t="n"/>
      <c r="C188" s="32" t="n"/>
      <c r="D188" s="32" t="n"/>
      <c r="E188" s="32" t="n"/>
      <c r="F188" s="36" t="n"/>
      <c r="G188" s="32" t="n"/>
      <c r="H188" s="32" t="n"/>
      <c r="I188" s="37">
        <f>IF(B188="","",DATE(YEAR(B188),MONTH(B188),1))</f>
        <v/>
      </c>
    </row>
    <row r="189">
      <c r="B189" s="35" t="n"/>
      <c r="C189" s="32" t="n"/>
      <c r="D189" s="32" t="n"/>
      <c r="E189" s="32" t="n"/>
      <c r="F189" s="36" t="n"/>
      <c r="G189" s="32" t="n"/>
      <c r="H189" s="32" t="n"/>
      <c r="I189" s="37">
        <f>IF(B189="","",DATE(YEAR(B189),MONTH(B189),1))</f>
        <v/>
      </c>
    </row>
    <row r="190">
      <c r="B190" s="35" t="n"/>
      <c r="C190" s="32" t="n"/>
      <c r="D190" s="32" t="n"/>
      <c r="E190" s="32" t="n"/>
      <c r="F190" s="36" t="n"/>
      <c r="G190" s="32" t="n"/>
      <c r="H190" s="32" t="n"/>
      <c r="I190" s="37">
        <f>IF(B190="","",DATE(YEAR(B190),MONTH(B190),1))</f>
        <v/>
      </c>
    </row>
    <row r="191">
      <c r="B191" s="35" t="n"/>
      <c r="C191" s="32" t="n"/>
      <c r="D191" s="32" t="n"/>
      <c r="E191" s="32" t="n"/>
      <c r="F191" s="36" t="n"/>
      <c r="G191" s="32" t="n"/>
      <c r="H191" s="32" t="n"/>
      <c r="I191" s="37">
        <f>IF(B191="","",DATE(YEAR(B191),MONTH(B191),1))</f>
        <v/>
      </c>
    </row>
    <row r="192">
      <c r="B192" s="35" t="n"/>
      <c r="C192" s="32" t="n"/>
      <c r="D192" s="32" t="n"/>
      <c r="E192" s="32" t="n"/>
      <c r="F192" s="36" t="n"/>
      <c r="G192" s="32" t="n"/>
      <c r="H192" s="32" t="n"/>
      <c r="I192" s="37">
        <f>IF(B192="","",DATE(YEAR(B192),MONTH(B192),1))</f>
        <v/>
      </c>
    </row>
    <row r="193">
      <c r="B193" s="35" t="n"/>
      <c r="C193" s="32" t="n"/>
      <c r="D193" s="32" t="n"/>
      <c r="E193" s="32" t="n"/>
      <c r="F193" s="36" t="n"/>
      <c r="G193" s="32" t="n"/>
      <c r="H193" s="32" t="n"/>
      <c r="I193" s="37">
        <f>IF(B193="","",DATE(YEAR(B193),MONTH(B193),1))</f>
        <v/>
      </c>
    </row>
    <row r="194">
      <c r="B194" s="35" t="n"/>
      <c r="C194" s="32" t="n"/>
      <c r="D194" s="32" t="n"/>
      <c r="E194" s="32" t="n"/>
      <c r="F194" s="36" t="n"/>
      <c r="G194" s="32" t="n"/>
      <c r="H194" s="32" t="n"/>
      <c r="I194" s="37">
        <f>IF(B194="","",DATE(YEAR(B194),MONTH(B194),1))</f>
        <v/>
      </c>
    </row>
    <row r="195">
      <c r="B195" s="35" t="n"/>
      <c r="C195" s="32" t="n"/>
      <c r="D195" s="32" t="n"/>
      <c r="E195" s="32" t="n"/>
      <c r="F195" s="36" t="n"/>
      <c r="G195" s="32" t="n"/>
      <c r="H195" s="32" t="n"/>
      <c r="I195" s="37">
        <f>IF(B195="","",DATE(YEAR(B195),MONTH(B195),1))</f>
        <v/>
      </c>
    </row>
    <row r="196">
      <c r="B196" s="35" t="n"/>
      <c r="C196" s="32" t="n"/>
      <c r="D196" s="32" t="n"/>
      <c r="E196" s="32" t="n"/>
      <c r="F196" s="36" t="n"/>
      <c r="G196" s="32" t="n"/>
      <c r="H196" s="32" t="n"/>
      <c r="I196" s="37">
        <f>IF(B196="","",DATE(YEAR(B196),MONTH(B196),1))</f>
        <v/>
      </c>
    </row>
    <row r="197">
      <c r="B197" s="35" t="n"/>
      <c r="C197" s="32" t="n"/>
      <c r="D197" s="32" t="n"/>
      <c r="E197" s="32" t="n"/>
      <c r="F197" s="36" t="n"/>
      <c r="G197" s="32" t="n"/>
      <c r="H197" s="32" t="n"/>
      <c r="I197" s="37">
        <f>IF(B197="","",DATE(YEAR(B197),MONTH(B197),1))</f>
        <v/>
      </c>
    </row>
    <row r="198">
      <c r="B198" s="35" t="n"/>
      <c r="C198" s="32" t="n"/>
      <c r="D198" s="32" t="n"/>
      <c r="E198" s="32" t="n"/>
      <c r="F198" s="36" t="n"/>
      <c r="G198" s="32" t="n"/>
      <c r="H198" s="32" t="n"/>
      <c r="I198" s="37">
        <f>IF(B198="","",DATE(YEAR(B198),MONTH(B198),1))</f>
        <v/>
      </c>
    </row>
    <row r="199">
      <c r="B199" s="35" t="n"/>
      <c r="C199" s="32" t="n"/>
      <c r="D199" s="32" t="n"/>
      <c r="E199" s="32" t="n"/>
      <c r="F199" s="36" t="n"/>
      <c r="G199" s="32" t="n"/>
      <c r="H199" s="32" t="n"/>
      <c r="I199" s="37">
        <f>IF(B199="","",DATE(YEAR(B199),MONTH(B199),1))</f>
        <v/>
      </c>
    </row>
    <row r="200">
      <c r="B200" s="35" t="n"/>
      <c r="C200" s="32" t="n"/>
      <c r="D200" s="32" t="n"/>
      <c r="E200" s="32" t="n"/>
      <c r="F200" s="36" t="n"/>
      <c r="G200" s="32" t="n"/>
      <c r="H200" s="32" t="n"/>
      <c r="I200" s="37">
        <f>IF(B200="","",DATE(YEAR(B200),MONTH(B200),1))</f>
        <v/>
      </c>
    </row>
    <row r="201">
      <c r="B201" s="35" t="n"/>
      <c r="C201" s="32" t="n"/>
      <c r="D201" s="32" t="n"/>
      <c r="E201" s="32" t="n"/>
      <c r="F201" s="36" t="n"/>
      <c r="G201" s="32" t="n"/>
      <c r="H201" s="32" t="n"/>
      <c r="I201" s="37">
        <f>IF(B201="","",DATE(YEAR(B201),MONTH(B201),1))</f>
        <v/>
      </c>
    </row>
    <row r="202">
      <c r="B202" s="35" t="n"/>
      <c r="C202" s="32" t="n"/>
      <c r="D202" s="32" t="n"/>
      <c r="E202" s="32" t="n"/>
      <c r="F202" s="36" t="n"/>
      <c r="G202" s="32" t="n"/>
      <c r="H202" s="32" t="n"/>
      <c r="I202" s="37">
        <f>IF(B202="","",DATE(YEAR(B202),MONTH(B202),1))</f>
        <v/>
      </c>
    </row>
    <row r="203">
      <c r="B203" s="35" t="n"/>
      <c r="C203" s="32" t="n"/>
      <c r="D203" s="32" t="n"/>
      <c r="E203" s="32" t="n"/>
      <c r="F203" s="36" t="n"/>
      <c r="G203" s="32" t="n"/>
      <c r="H203" s="32" t="n"/>
      <c r="I203" s="37">
        <f>IF(B203="","",DATE(YEAR(B203),MONTH(B203),1))</f>
        <v/>
      </c>
    </row>
    <row r="204">
      <c r="B204" s="35" t="n"/>
      <c r="C204" s="32" t="n"/>
      <c r="D204" s="32" t="n"/>
      <c r="E204" s="32" t="n"/>
      <c r="F204" s="36" t="n"/>
      <c r="G204" s="32" t="n"/>
      <c r="H204" s="32" t="n"/>
      <c r="I204" s="37">
        <f>IF(B204="","",DATE(YEAR(B204),MONTH(B204),1))</f>
        <v/>
      </c>
    </row>
    <row r="205">
      <c r="B205" s="35" t="n"/>
      <c r="C205" s="32" t="n"/>
      <c r="D205" s="32" t="n"/>
      <c r="E205" s="32" t="n"/>
      <c r="F205" s="36" t="n"/>
      <c r="G205" s="32" t="n"/>
      <c r="H205" s="32" t="n"/>
      <c r="I205" s="37">
        <f>IF(B205="","",DATE(YEAR(B205),MONTH(B205),1))</f>
        <v/>
      </c>
    </row>
    <row r="206">
      <c r="B206" s="35" t="n"/>
      <c r="C206" s="32" t="n"/>
      <c r="D206" s="32" t="n"/>
      <c r="E206" s="32" t="n"/>
      <c r="F206" s="36" t="n"/>
      <c r="G206" s="32" t="n"/>
      <c r="H206" s="32" t="n"/>
      <c r="I206" s="37">
        <f>IF(B206="","",DATE(YEAR(B206),MONTH(B206),1))</f>
        <v/>
      </c>
    </row>
    <row r="207">
      <c r="B207" s="35" t="n"/>
      <c r="C207" s="32" t="n"/>
      <c r="D207" s="32" t="n"/>
      <c r="E207" s="32" t="n"/>
      <c r="F207" s="36" t="n"/>
      <c r="G207" s="32" t="n"/>
      <c r="H207" s="32" t="n"/>
      <c r="I207" s="37">
        <f>IF(B207="","",DATE(YEAR(B207),MONTH(B207),1))</f>
        <v/>
      </c>
    </row>
    <row r="208">
      <c r="B208" s="35" t="n"/>
      <c r="C208" s="32" t="n"/>
      <c r="D208" s="32" t="n"/>
      <c r="E208" s="32" t="n"/>
      <c r="F208" s="36" t="n"/>
      <c r="G208" s="32" t="n"/>
      <c r="H208" s="32" t="n"/>
      <c r="I208" s="37">
        <f>IF(B208="","",DATE(YEAR(B208),MONTH(B208),1))</f>
        <v/>
      </c>
    </row>
    <row r="209">
      <c r="B209" s="35" t="n"/>
      <c r="C209" s="32" t="n"/>
      <c r="D209" s="32" t="n"/>
      <c r="E209" s="32" t="n"/>
      <c r="F209" s="36" t="n"/>
      <c r="G209" s="32" t="n"/>
      <c r="H209" s="32" t="n"/>
      <c r="I209" s="37">
        <f>IF(B209="","",DATE(YEAR(B209),MONTH(B209),1))</f>
        <v/>
      </c>
    </row>
    <row r="210">
      <c r="B210" s="35" t="n"/>
      <c r="C210" s="32" t="n"/>
      <c r="D210" s="32" t="n"/>
      <c r="E210" s="32" t="n"/>
      <c r="F210" s="36" t="n"/>
      <c r="G210" s="32" t="n"/>
      <c r="H210" s="32" t="n"/>
      <c r="I210" s="37">
        <f>IF(B210="","",DATE(YEAR(B210),MONTH(B210),1))</f>
        <v/>
      </c>
    </row>
    <row r="211">
      <c r="B211" s="35" t="n"/>
      <c r="C211" s="32" t="n"/>
      <c r="D211" s="32" t="n"/>
      <c r="E211" s="32" t="n"/>
      <c r="F211" s="36" t="n"/>
      <c r="G211" s="32" t="n"/>
      <c r="H211" s="32" t="n"/>
      <c r="I211" s="37">
        <f>IF(B211="","",DATE(YEAR(B211),MONTH(B211),1))</f>
        <v/>
      </c>
    </row>
    <row r="212">
      <c r="B212" s="35" t="n"/>
      <c r="C212" s="32" t="n"/>
      <c r="D212" s="32" t="n"/>
      <c r="E212" s="32" t="n"/>
      <c r="F212" s="36" t="n"/>
      <c r="G212" s="32" t="n"/>
      <c r="H212" s="32" t="n"/>
      <c r="I212" s="37">
        <f>IF(B212="","",DATE(YEAR(B212),MONTH(B212),1))</f>
        <v/>
      </c>
    </row>
    <row r="213">
      <c r="B213" s="35" t="n"/>
      <c r="C213" s="32" t="n"/>
      <c r="D213" s="32" t="n"/>
      <c r="E213" s="32" t="n"/>
      <c r="F213" s="36" t="n"/>
      <c r="G213" s="32" t="n"/>
      <c r="H213" s="32" t="n"/>
      <c r="I213" s="37">
        <f>IF(B213="","",DATE(YEAR(B213),MONTH(B213),1))</f>
        <v/>
      </c>
    </row>
    <row r="214">
      <c r="B214" s="35" t="n"/>
      <c r="C214" s="32" t="n"/>
      <c r="D214" s="32" t="n"/>
      <c r="E214" s="32" t="n"/>
      <c r="F214" s="36" t="n"/>
      <c r="G214" s="32" t="n"/>
      <c r="H214" s="32" t="n"/>
      <c r="I214" s="37">
        <f>IF(B214="","",DATE(YEAR(B214),MONTH(B214),1))</f>
        <v/>
      </c>
    </row>
    <row r="215">
      <c r="B215" s="35" t="n"/>
      <c r="C215" s="32" t="n"/>
      <c r="D215" s="32" t="n"/>
      <c r="E215" s="32" t="n"/>
      <c r="F215" s="36" t="n"/>
      <c r="G215" s="32" t="n"/>
      <c r="H215" s="32" t="n"/>
      <c r="I215" s="37">
        <f>IF(B215="","",DATE(YEAR(B215),MONTH(B215),1))</f>
        <v/>
      </c>
    </row>
    <row r="216">
      <c r="B216" s="35" t="n"/>
      <c r="C216" s="32" t="n"/>
      <c r="D216" s="32" t="n"/>
      <c r="E216" s="32" t="n"/>
      <c r="F216" s="36" t="n"/>
      <c r="G216" s="32" t="n"/>
      <c r="H216" s="32" t="n"/>
      <c r="I216" s="37">
        <f>IF(B216="","",DATE(YEAR(B216),MONTH(B216),1))</f>
        <v/>
      </c>
    </row>
    <row r="217">
      <c r="B217" s="35" t="n"/>
      <c r="C217" s="32" t="n"/>
      <c r="D217" s="32" t="n"/>
      <c r="E217" s="32" t="n"/>
      <c r="F217" s="36" t="n"/>
      <c r="G217" s="32" t="n"/>
      <c r="H217" s="32" t="n"/>
      <c r="I217" s="37">
        <f>IF(B217="","",DATE(YEAR(B217),MONTH(B217),1))</f>
        <v/>
      </c>
    </row>
    <row r="218">
      <c r="B218" s="35" t="n"/>
      <c r="C218" s="32" t="n"/>
      <c r="D218" s="32" t="n"/>
      <c r="E218" s="32" t="n"/>
      <c r="F218" s="36" t="n"/>
      <c r="G218" s="32" t="n"/>
      <c r="H218" s="32" t="n"/>
      <c r="I218" s="37">
        <f>IF(B218="","",DATE(YEAR(B218),MONTH(B218),1))</f>
        <v/>
      </c>
    </row>
    <row r="219">
      <c r="B219" s="35" t="n"/>
      <c r="C219" s="32" t="n"/>
      <c r="D219" s="32" t="n"/>
      <c r="E219" s="32" t="n"/>
      <c r="F219" s="36" t="n"/>
      <c r="G219" s="32" t="n"/>
      <c r="H219" s="32" t="n"/>
      <c r="I219" s="37">
        <f>IF(B219="","",DATE(YEAR(B219),MONTH(B219),1))</f>
        <v/>
      </c>
    </row>
    <row r="220">
      <c r="B220" s="35" t="n"/>
      <c r="C220" s="32" t="n"/>
      <c r="D220" s="32" t="n"/>
      <c r="E220" s="32" t="n"/>
      <c r="F220" s="36" t="n"/>
      <c r="G220" s="32" t="n"/>
      <c r="H220" s="32" t="n"/>
      <c r="I220" s="37">
        <f>IF(B220="","",DATE(YEAR(B220),MONTH(B220),1))</f>
        <v/>
      </c>
    </row>
    <row r="221">
      <c r="B221" s="35" t="n"/>
      <c r="C221" s="32" t="n"/>
      <c r="D221" s="32" t="n"/>
      <c r="E221" s="32" t="n"/>
      <c r="F221" s="36" t="n"/>
      <c r="G221" s="32" t="n"/>
      <c r="H221" s="32" t="n"/>
      <c r="I221" s="37">
        <f>IF(B221="","",DATE(YEAR(B221),MONTH(B221),1))</f>
        <v/>
      </c>
    </row>
    <row r="222">
      <c r="B222" s="35" t="n"/>
      <c r="C222" s="32" t="n"/>
      <c r="D222" s="32" t="n"/>
      <c r="E222" s="32" t="n"/>
      <c r="F222" s="36" t="n"/>
      <c r="G222" s="32" t="n"/>
      <c r="H222" s="32" t="n"/>
      <c r="I222" s="37">
        <f>IF(B222="","",DATE(YEAR(B222),MONTH(B222),1))</f>
        <v/>
      </c>
    </row>
    <row r="223">
      <c r="B223" s="35" t="n"/>
      <c r="C223" s="32" t="n"/>
      <c r="D223" s="32" t="n"/>
      <c r="E223" s="32" t="n"/>
      <c r="F223" s="36" t="n"/>
      <c r="G223" s="32" t="n"/>
      <c r="H223" s="32" t="n"/>
      <c r="I223" s="37">
        <f>IF(B223="","",DATE(YEAR(B223),MONTH(B223),1))</f>
        <v/>
      </c>
    </row>
    <row r="224">
      <c r="B224" s="35" t="n"/>
      <c r="C224" s="32" t="n"/>
      <c r="D224" s="32" t="n"/>
      <c r="E224" s="32" t="n"/>
      <c r="F224" s="36" t="n"/>
      <c r="G224" s="32" t="n"/>
      <c r="H224" s="32" t="n"/>
      <c r="I224" s="37">
        <f>IF(B224="","",DATE(YEAR(B224),MONTH(B224),1))</f>
        <v/>
      </c>
    </row>
    <row r="225">
      <c r="B225" s="35" t="n"/>
      <c r="C225" s="32" t="n"/>
      <c r="D225" s="32" t="n"/>
      <c r="E225" s="32" t="n"/>
      <c r="F225" s="36" t="n"/>
      <c r="G225" s="32" t="n"/>
      <c r="H225" s="32" t="n"/>
      <c r="I225" s="37">
        <f>IF(B225="","",DATE(YEAR(B225),MONTH(B225),1))</f>
        <v/>
      </c>
    </row>
    <row r="226">
      <c r="B226" s="35" t="n"/>
      <c r="C226" s="32" t="n"/>
      <c r="D226" s="32" t="n"/>
      <c r="E226" s="32" t="n"/>
      <c r="F226" s="36" t="n"/>
      <c r="G226" s="32" t="n"/>
      <c r="H226" s="32" t="n"/>
      <c r="I226" s="37">
        <f>IF(B226="","",DATE(YEAR(B226),MONTH(B226),1))</f>
        <v/>
      </c>
    </row>
    <row r="227">
      <c r="B227" s="35" t="n"/>
      <c r="C227" s="32" t="n"/>
      <c r="D227" s="32" t="n"/>
      <c r="E227" s="32" t="n"/>
      <c r="F227" s="36" t="n"/>
      <c r="G227" s="32" t="n"/>
      <c r="H227" s="32" t="n"/>
      <c r="I227" s="37">
        <f>IF(B227="","",DATE(YEAR(B227),MONTH(B227),1))</f>
        <v/>
      </c>
    </row>
    <row r="228">
      <c r="B228" s="35" t="n"/>
      <c r="C228" s="32" t="n"/>
      <c r="D228" s="32" t="n"/>
      <c r="E228" s="32" t="n"/>
      <c r="F228" s="36" t="n"/>
      <c r="G228" s="32" t="n"/>
      <c r="H228" s="32" t="n"/>
      <c r="I228" s="37">
        <f>IF(B228="","",DATE(YEAR(B228),MONTH(B228),1))</f>
        <v/>
      </c>
    </row>
    <row r="229">
      <c r="B229" s="35" t="n"/>
      <c r="C229" s="32" t="n"/>
      <c r="D229" s="32" t="n"/>
      <c r="E229" s="32" t="n"/>
      <c r="F229" s="36" t="n"/>
      <c r="G229" s="32" t="n"/>
      <c r="H229" s="32" t="n"/>
      <c r="I229" s="37">
        <f>IF(B229="","",DATE(YEAR(B229),MONTH(B229),1))</f>
        <v/>
      </c>
    </row>
    <row r="230">
      <c r="B230" s="35" t="n"/>
      <c r="C230" s="32" t="n"/>
      <c r="D230" s="32" t="n"/>
      <c r="E230" s="32" t="n"/>
      <c r="F230" s="36" t="n"/>
      <c r="G230" s="32" t="n"/>
      <c r="H230" s="32" t="n"/>
      <c r="I230" s="37">
        <f>IF(B230="","",DATE(YEAR(B230),MONTH(B230),1))</f>
        <v/>
      </c>
    </row>
    <row r="231">
      <c r="B231" s="35" t="n"/>
      <c r="C231" s="32" t="n"/>
      <c r="D231" s="32" t="n"/>
      <c r="E231" s="32" t="n"/>
      <c r="F231" s="36" t="n"/>
      <c r="G231" s="32" t="n"/>
      <c r="H231" s="32" t="n"/>
      <c r="I231" s="37">
        <f>IF(B231="","",DATE(YEAR(B231),MONTH(B231),1))</f>
        <v/>
      </c>
    </row>
    <row r="232">
      <c r="B232" s="35" t="n"/>
      <c r="C232" s="32" t="n"/>
      <c r="D232" s="32" t="n"/>
      <c r="E232" s="32" t="n"/>
      <c r="F232" s="36" t="n"/>
      <c r="G232" s="32" t="n"/>
      <c r="H232" s="32" t="n"/>
      <c r="I232" s="37">
        <f>IF(B232="","",DATE(YEAR(B232),MONTH(B232),1))</f>
        <v/>
      </c>
    </row>
    <row r="233">
      <c r="B233" s="35" t="n"/>
      <c r="C233" s="32" t="n"/>
      <c r="D233" s="32" t="n"/>
      <c r="E233" s="32" t="n"/>
      <c r="F233" s="36" t="n"/>
      <c r="G233" s="32" t="n"/>
      <c r="H233" s="32" t="n"/>
      <c r="I233" s="37">
        <f>IF(B233="","",DATE(YEAR(B233),MONTH(B233),1))</f>
        <v/>
      </c>
    </row>
    <row r="234">
      <c r="B234" s="35" t="n"/>
      <c r="C234" s="32" t="n"/>
      <c r="D234" s="32" t="n"/>
      <c r="E234" s="32" t="n"/>
      <c r="F234" s="36" t="n"/>
      <c r="G234" s="32" t="n"/>
      <c r="H234" s="32" t="n"/>
      <c r="I234" s="37">
        <f>IF(B234="","",DATE(YEAR(B234),MONTH(B234),1))</f>
        <v/>
      </c>
    </row>
    <row r="235">
      <c r="B235" s="35" t="n"/>
      <c r="C235" s="32" t="n"/>
      <c r="D235" s="32" t="n"/>
      <c r="E235" s="32" t="n"/>
      <c r="F235" s="36" t="n"/>
      <c r="G235" s="32" t="n"/>
      <c r="H235" s="32" t="n"/>
      <c r="I235" s="37">
        <f>IF(B235="","",DATE(YEAR(B235),MONTH(B235),1))</f>
        <v/>
      </c>
    </row>
    <row r="236">
      <c r="B236" s="35" t="n"/>
      <c r="C236" s="32" t="n"/>
      <c r="D236" s="32" t="n"/>
      <c r="E236" s="32" t="n"/>
      <c r="F236" s="36" t="n"/>
      <c r="G236" s="32" t="n"/>
      <c r="H236" s="32" t="n"/>
      <c r="I236" s="37">
        <f>IF(B236="","",DATE(YEAR(B236),MONTH(B236),1))</f>
        <v/>
      </c>
    </row>
    <row r="237">
      <c r="B237" s="35" t="n"/>
      <c r="C237" s="32" t="n"/>
      <c r="D237" s="32" t="n"/>
      <c r="E237" s="32" t="n"/>
      <c r="F237" s="36" t="n"/>
      <c r="G237" s="32" t="n"/>
      <c r="H237" s="32" t="n"/>
      <c r="I237" s="37">
        <f>IF(B237="","",DATE(YEAR(B237),MONTH(B237),1))</f>
        <v/>
      </c>
    </row>
    <row r="238">
      <c r="B238" s="35" t="n"/>
      <c r="C238" s="32" t="n"/>
      <c r="D238" s="32" t="n"/>
      <c r="E238" s="32" t="n"/>
      <c r="F238" s="36" t="n"/>
      <c r="G238" s="32" t="n"/>
      <c r="H238" s="32" t="n"/>
      <c r="I238" s="37">
        <f>IF(B238="","",DATE(YEAR(B238),MONTH(B238),1))</f>
        <v/>
      </c>
    </row>
    <row r="239">
      <c r="B239" s="35" t="n"/>
      <c r="C239" s="32" t="n"/>
      <c r="D239" s="32" t="n"/>
      <c r="E239" s="32" t="n"/>
      <c r="F239" s="36" t="n"/>
      <c r="G239" s="32" t="n"/>
      <c r="H239" s="32" t="n"/>
      <c r="I239" s="37">
        <f>IF(B239="","",DATE(YEAR(B239),MONTH(B239),1))</f>
        <v/>
      </c>
    </row>
    <row r="240">
      <c r="B240" s="35" t="n"/>
      <c r="C240" s="32" t="n"/>
      <c r="D240" s="32" t="n"/>
      <c r="E240" s="32" t="n"/>
      <c r="F240" s="36" t="n"/>
      <c r="G240" s="32" t="n"/>
      <c r="H240" s="32" t="n"/>
      <c r="I240" s="37">
        <f>IF(B240="","",DATE(YEAR(B240),MONTH(B240),1))</f>
        <v/>
      </c>
    </row>
    <row r="241">
      <c r="B241" s="35" t="n"/>
      <c r="C241" s="32" t="n"/>
      <c r="D241" s="32" t="n"/>
      <c r="E241" s="32" t="n"/>
      <c r="F241" s="36" t="n"/>
      <c r="G241" s="32" t="n"/>
      <c r="H241" s="32" t="n"/>
      <c r="I241" s="37">
        <f>IF(B241="","",DATE(YEAR(B241),MONTH(B241),1))</f>
        <v/>
      </c>
    </row>
    <row r="242">
      <c r="B242" s="35" t="n"/>
      <c r="C242" s="32" t="n"/>
      <c r="D242" s="32" t="n"/>
      <c r="E242" s="32" t="n"/>
      <c r="F242" s="36" t="n"/>
      <c r="G242" s="32" t="n"/>
      <c r="H242" s="32" t="n"/>
      <c r="I242" s="37">
        <f>IF(B242="","",DATE(YEAR(B242),MONTH(B242),1))</f>
        <v/>
      </c>
    </row>
    <row r="243">
      <c r="B243" s="35" t="n"/>
      <c r="C243" s="32" t="n"/>
      <c r="D243" s="32" t="n"/>
      <c r="E243" s="32" t="n"/>
      <c r="F243" s="36" t="n"/>
      <c r="G243" s="32" t="n"/>
      <c r="H243" s="32" t="n"/>
      <c r="I243" s="37">
        <f>IF(B243="","",DATE(YEAR(B243),MONTH(B243),1))</f>
        <v/>
      </c>
    </row>
    <row r="244">
      <c r="B244" s="35" t="n"/>
      <c r="C244" s="32" t="n"/>
      <c r="D244" s="32" t="n"/>
      <c r="E244" s="32" t="n"/>
      <c r="F244" s="36" t="n"/>
      <c r="G244" s="32" t="n"/>
      <c r="H244" s="32" t="n"/>
      <c r="I244" s="37">
        <f>IF(B244="","",DATE(YEAR(B244),MONTH(B244),1))</f>
        <v/>
      </c>
    </row>
    <row r="245">
      <c r="B245" s="35" t="n"/>
      <c r="C245" s="32" t="n"/>
      <c r="D245" s="32" t="n"/>
      <c r="E245" s="32" t="n"/>
      <c r="F245" s="36" t="n"/>
      <c r="G245" s="32" t="n"/>
      <c r="H245" s="32" t="n"/>
      <c r="I245" s="37">
        <f>IF(B245="","",DATE(YEAR(B245),MONTH(B245),1))</f>
        <v/>
      </c>
    </row>
    <row r="246">
      <c r="B246" s="35" t="n"/>
      <c r="C246" s="32" t="n"/>
      <c r="D246" s="32" t="n"/>
      <c r="E246" s="32" t="n"/>
      <c r="F246" s="36" t="n"/>
      <c r="G246" s="32" t="n"/>
      <c r="H246" s="32" t="n"/>
      <c r="I246" s="37">
        <f>IF(B246="","",DATE(YEAR(B246),MONTH(B246),1))</f>
        <v/>
      </c>
    </row>
    <row r="247">
      <c r="B247" s="35" t="n"/>
      <c r="C247" s="32" t="n"/>
      <c r="D247" s="32" t="n"/>
      <c r="E247" s="32" t="n"/>
      <c r="F247" s="36" t="n"/>
      <c r="G247" s="32" t="n"/>
      <c r="H247" s="32" t="n"/>
      <c r="I247" s="37">
        <f>IF(B247="","",DATE(YEAR(B247),MONTH(B247),1))</f>
        <v/>
      </c>
    </row>
    <row r="248">
      <c r="B248" s="35" t="n"/>
      <c r="C248" s="32" t="n"/>
      <c r="D248" s="32" t="n"/>
      <c r="E248" s="32" t="n"/>
      <c r="F248" s="36" t="n"/>
      <c r="G248" s="32" t="n"/>
      <c r="H248" s="32" t="n"/>
      <c r="I248" s="37">
        <f>IF(B248="","",DATE(YEAR(B248),MONTH(B248),1))</f>
        <v/>
      </c>
    </row>
    <row r="249">
      <c r="B249" s="35" t="n"/>
      <c r="C249" s="32" t="n"/>
      <c r="D249" s="32" t="n"/>
      <c r="E249" s="32" t="n"/>
      <c r="F249" s="36" t="n"/>
      <c r="G249" s="32" t="n"/>
      <c r="H249" s="32" t="n"/>
      <c r="I249" s="37">
        <f>IF(B249="","",DATE(YEAR(B249),MONTH(B249),1))</f>
        <v/>
      </c>
    </row>
    <row r="250">
      <c r="B250" s="35" t="n"/>
      <c r="C250" s="32" t="n"/>
      <c r="D250" s="32" t="n"/>
      <c r="E250" s="32" t="n"/>
      <c r="F250" s="36" t="n"/>
      <c r="G250" s="32" t="n"/>
      <c r="H250" s="32" t="n"/>
      <c r="I250" s="37">
        <f>IF(B250="","",DATE(YEAR(B250),MONTH(B250),1))</f>
        <v/>
      </c>
    </row>
    <row r="251">
      <c r="B251" s="35" t="n"/>
      <c r="C251" s="32" t="n"/>
      <c r="D251" s="32" t="n"/>
      <c r="E251" s="32" t="n"/>
      <c r="F251" s="36" t="n"/>
      <c r="G251" s="32" t="n"/>
      <c r="H251" s="32" t="n"/>
      <c r="I251" s="37">
        <f>IF(B251="","",DATE(YEAR(B251),MONTH(B251),1))</f>
        <v/>
      </c>
    </row>
    <row r="252">
      <c r="B252" s="35" t="n"/>
      <c r="C252" s="32" t="n"/>
      <c r="D252" s="32" t="n"/>
      <c r="E252" s="32" t="n"/>
      <c r="F252" s="36" t="n"/>
      <c r="G252" s="32" t="n"/>
      <c r="H252" s="32" t="n"/>
      <c r="I252" s="37">
        <f>IF(B252="","",DATE(YEAR(B252),MONTH(B252),1))</f>
        <v/>
      </c>
    </row>
    <row r="253">
      <c r="B253" s="35" t="n"/>
      <c r="C253" s="32" t="n"/>
      <c r="D253" s="32" t="n"/>
      <c r="E253" s="32" t="n"/>
      <c r="F253" s="36" t="n"/>
      <c r="G253" s="32" t="n"/>
      <c r="H253" s="32" t="n"/>
      <c r="I253" s="37">
        <f>IF(B253="","",DATE(YEAR(B253),MONTH(B253),1))</f>
        <v/>
      </c>
    </row>
    <row r="254">
      <c r="B254" s="35" t="n"/>
      <c r="C254" s="32" t="n"/>
      <c r="D254" s="32" t="n"/>
      <c r="E254" s="32" t="n"/>
      <c r="F254" s="36" t="n"/>
      <c r="G254" s="32" t="n"/>
      <c r="H254" s="32" t="n"/>
      <c r="I254" s="37">
        <f>IF(B254="","",DATE(YEAR(B254),MONTH(B254),1))</f>
        <v/>
      </c>
    </row>
    <row r="255">
      <c r="B255" s="35" t="n"/>
      <c r="C255" s="32" t="n"/>
      <c r="D255" s="32" t="n"/>
      <c r="E255" s="32" t="n"/>
      <c r="F255" s="36" t="n"/>
      <c r="G255" s="32" t="n"/>
      <c r="H255" s="32" t="n"/>
      <c r="I255" s="37">
        <f>IF(B255="","",DATE(YEAR(B255),MONTH(B255),1))</f>
        <v/>
      </c>
    </row>
    <row r="256">
      <c r="B256" s="35" t="n"/>
      <c r="C256" s="32" t="n"/>
      <c r="D256" s="32" t="n"/>
      <c r="E256" s="32" t="n"/>
      <c r="F256" s="36" t="n"/>
      <c r="G256" s="32" t="n"/>
      <c r="H256" s="32" t="n"/>
      <c r="I256" s="37">
        <f>IF(B256="","",DATE(YEAR(B256),MONTH(B256),1))</f>
        <v/>
      </c>
    </row>
    <row r="257">
      <c r="B257" s="35" t="n"/>
      <c r="C257" s="32" t="n"/>
      <c r="D257" s="32" t="n"/>
      <c r="E257" s="32" t="n"/>
      <c r="F257" s="36" t="n"/>
      <c r="G257" s="32" t="n"/>
      <c r="H257" s="32" t="n"/>
      <c r="I257" s="37">
        <f>IF(B257="","",DATE(YEAR(B257),MONTH(B257),1))</f>
        <v/>
      </c>
    </row>
    <row r="258">
      <c r="B258" s="35" t="n"/>
      <c r="C258" s="32" t="n"/>
      <c r="D258" s="32" t="n"/>
      <c r="E258" s="32" t="n"/>
      <c r="F258" s="36" t="n"/>
      <c r="G258" s="32" t="n"/>
      <c r="H258" s="32" t="n"/>
      <c r="I258" s="37">
        <f>IF(B258="","",DATE(YEAR(B258),MONTH(B258),1))</f>
        <v/>
      </c>
    </row>
    <row r="259">
      <c r="B259" s="35" t="n"/>
      <c r="C259" s="32" t="n"/>
      <c r="D259" s="32" t="n"/>
      <c r="E259" s="32" t="n"/>
      <c r="F259" s="36" t="n"/>
      <c r="G259" s="32" t="n"/>
      <c r="H259" s="32" t="n"/>
      <c r="I259" s="37">
        <f>IF(B259="","",DATE(YEAR(B259),MONTH(B259),1))</f>
        <v/>
      </c>
    </row>
    <row r="260">
      <c r="B260" s="35" t="n"/>
      <c r="C260" s="32" t="n"/>
      <c r="D260" s="32" t="n"/>
      <c r="E260" s="32" t="n"/>
      <c r="F260" s="36" t="n"/>
      <c r="G260" s="32" t="n"/>
      <c r="H260" s="32" t="n"/>
      <c r="I260" s="37">
        <f>IF(B260="","",DATE(YEAR(B260),MONTH(B260),1))</f>
        <v/>
      </c>
    </row>
    <row r="261">
      <c r="B261" s="35" t="n"/>
      <c r="C261" s="32" t="n"/>
      <c r="D261" s="32" t="n"/>
      <c r="E261" s="32" t="n"/>
      <c r="F261" s="36" t="n"/>
      <c r="G261" s="32" t="n"/>
      <c r="H261" s="32" t="n"/>
      <c r="I261" s="37">
        <f>IF(B261="","",DATE(YEAR(B261),MONTH(B261),1))</f>
        <v/>
      </c>
    </row>
    <row r="262">
      <c r="B262" s="35" t="n"/>
      <c r="C262" s="32" t="n"/>
      <c r="D262" s="32" t="n"/>
      <c r="E262" s="32" t="n"/>
      <c r="F262" s="36" t="n"/>
      <c r="G262" s="32" t="n"/>
      <c r="H262" s="32" t="n"/>
      <c r="I262" s="37">
        <f>IF(B262="","",DATE(YEAR(B262),MONTH(B262),1))</f>
        <v/>
      </c>
    </row>
    <row r="263">
      <c r="B263" s="35" t="n"/>
      <c r="C263" s="32" t="n"/>
      <c r="D263" s="32" t="n"/>
      <c r="E263" s="32" t="n"/>
      <c r="F263" s="36" t="n"/>
      <c r="G263" s="32" t="n"/>
      <c r="H263" s="32" t="n"/>
      <c r="I263" s="37">
        <f>IF(B263="","",DATE(YEAR(B263),MONTH(B263),1))</f>
        <v/>
      </c>
    </row>
    <row r="264">
      <c r="B264" s="35" t="n"/>
      <c r="C264" s="32" t="n"/>
      <c r="D264" s="32" t="n"/>
      <c r="E264" s="32" t="n"/>
      <c r="F264" s="36" t="n"/>
      <c r="G264" s="32" t="n"/>
      <c r="H264" s="32" t="n"/>
      <c r="I264" s="37">
        <f>IF(B264="","",DATE(YEAR(B264),MONTH(B264),1))</f>
        <v/>
      </c>
    </row>
    <row r="265">
      <c r="B265" s="35" t="n"/>
      <c r="C265" s="32" t="n"/>
      <c r="D265" s="32" t="n"/>
      <c r="E265" s="32" t="n"/>
      <c r="F265" s="36" t="n"/>
      <c r="G265" s="32" t="n"/>
      <c r="H265" s="32" t="n"/>
      <c r="I265" s="37">
        <f>IF(B265="","",DATE(YEAR(B265),MONTH(B265),1))</f>
        <v/>
      </c>
    </row>
    <row r="266">
      <c r="B266" s="35" t="n"/>
      <c r="C266" s="32" t="n"/>
      <c r="D266" s="32" t="n"/>
      <c r="E266" s="32" t="n"/>
      <c r="F266" s="36" t="n"/>
      <c r="G266" s="32" t="n"/>
      <c r="H266" s="32" t="n"/>
      <c r="I266" s="37">
        <f>IF(B266="","",DATE(YEAR(B266),MONTH(B266),1))</f>
        <v/>
      </c>
    </row>
    <row r="267">
      <c r="B267" s="35" t="n"/>
      <c r="C267" s="32" t="n"/>
      <c r="D267" s="32" t="n"/>
      <c r="E267" s="32" t="n"/>
      <c r="F267" s="36" t="n"/>
      <c r="G267" s="32" t="n"/>
      <c r="H267" s="32" t="n"/>
      <c r="I267" s="37">
        <f>IF(B267="","",DATE(YEAR(B267),MONTH(B267),1))</f>
        <v/>
      </c>
    </row>
    <row r="268">
      <c r="B268" s="35" t="n"/>
      <c r="C268" s="32" t="n"/>
      <c r="D268" s="32" t="n"/>
      <c r="E268" s="32" t="n"/>
      <c r="F268" s="36" t="n"/>
      <c r="G268" s="32" t="n"/>
      <c r="H268" s="32" t="n"/>
      <c r="I268" s="37">
        <f>IF(B268="","",DATE(YEAR(B268),MONTH(B268),1))</f>
        <v/>
      </c>
    </row>
    <row r="269">
      <c r="B269" s="35" t="n"/>
      <c r="C269" s="32" t="n"/>
      <c r="D269" s="32" t="n"/>
      <c r="E269" s="32" t="n"/>
      <c r="F269" s="36" t="n"/>
      <c r="G269" s="32" t="n"/>
      <c r="H269" s="32" t="n"/>
      <c r="I269" s="37">
        <f>IF(B269="","",DATE(YEAR(B269),MONTH(B269),1))</f>
        <v/>
      </c>
    </row>
    <row r="270">
      <c r="B270" s="35" t="n"/>
      <c r="C270" s="32" t="n"/>
      <c r="D270" s="32" t="n"/>
      <c r="E270" s="32" t="n"/>
      <c r="F270" s="36" t="n"/>
      <c r="G270" s="32" t="n"/>
      <c r="H270" s="32" t="n"/>
      <c r="I270" s="37">
        <f>IF(B270="","",DATE(YEAR(B270),MONTH(B270),1))</f>
        <v/>
      </c>
    </row>
    <row r="271">
      <c r="B271" s="35" t="n"/>
      <c r="C271" s="32" t="n"/>
      <c r="D271" s="32" t="n"/>
      <c r="E271" s="32" t="n"/>
      <c r="F271" s="36" t="n"/>
      <c r="G271" s="32" t="n"/>
      <c r="H271" s="32" t="n"/>
      <c r="I271" s="37">
        <f>IF(B271="","",DATE(YEAR(B271),MONTH(B271),1))</f>
        <v/>
      </c>
    </row>
    <row r="272">
      <c r="B272" s="35" t="n"/>
      <c r="C272" s="32" t="n"/>
      <c r="D272" s="32" t="n"/>
      <c r="E272" s="32" t="n"/>
      <c r="F272" s="36" t="n"/>
      <c r="G272" s="32" t="n"/>
      <c r="H272" s="32" t="n"/>
      <c r="I272" s="37">
        <f>IF(B272="","",DATE(YEAR(B272),MONTH(B272),1))</f>
        <v/>
      </c>
    </row>
    <row r="273">
      <c r="B273" s="35" t="n"/>
      <c r="C273" s="32" t="n"/>
      <c r="D273" s="32" t="n"/>
      <c r="E273" s="32" t="n"/>
      <c r="F273" s="36" t="n"/>
      <c r="G273" s="32" t="n"/>
      <c r="H273" s="32" t="n"/>
      <c r="I273" s="37">
        <f>IF(B273="","",DATE(YEAR(B273),MONTH(B273),1))</f>
        <v/>
      </c>
    </row>
    <row r="274">
      <c r="B274" s="35" t="n"/>
      <c r="C274" s="32" t="n"/>
      <c r="D274" s="32" t="n"/>
      <c r="E274" s="32" t="n"/>
      <c r="F274" s="36" t="n"/>
      <c r="G274" s="32" t="n"/>
      <c r="H274" s="32" t="n"/>
      <c r="I274" s="37">
        <f>IF(B274="","",DATE(YEAR(B274),MONTH(B274),1))</f>
        <v/>
      </c>
    </row>
    <row r="275">
      <c r="B275" s="35" t="n"/>
      <c r="C275" s="32" t="n"/>
      <c r="D275" s="32" t="n"/>
      <c r="E275" s="32" t="n"/>
      <c r="F275" s="36" t="n"/>
      <c r="G275" s="32" t="n"/>
      <c r="H275" s="32" t="n"/>
      <c r="I275" s="37">
        <f>IF(B275="","",DATE(YEAR(B275),MONTH(B275),1))</f>
        <v/>
      </c>
    </row>
    <row r="276">
      <c r="B276" s="35" t="n"/>
      <c r="C276" s="32" t="n"/>
      <c r="D276" s="32" t="n"/>
      <c r="E276" s="32" t="n"/>
      <c r="F276" s="36" t="n"/>
      <c r="G276" s="32" t="n"/>
      <c r="H276" s="32" t="n"/>
      <c r="I276" s="37">
        <f>IF(B276="","",DATE(YEAR(B276),MONTH(B276),1))</f>
        <v/>
      </c>
    </row>
    <row r="277">
      <c r="B277" s="35" t="n"/>
      <c r="C277" s="32" t="n"/>
      <c r="D277" s="32" t="n"/>
      <c r="E277" s="32" t="n"/>
      <c r="F277" s="36" t="n"/>
      <c r="G277" s="32" t="n"/>
      <c r="H277" s="32" t="n"/>
      <c r="I277" s="37">
        <f>IF(B277="","",DATE(YEAR(B277),MONTH(B277),1))</f>
        <v/>
      </c>
    </row>
    <row r="278">
      <c r="B278" s="35" t="n"/>
      <c r="C278" s="32" t="n"/>
      <c r="D278" s="32" t="n"/>
      <c r="E278" s="32" t="n"/>
      <c r="F278" s="36" t="n"/>
      <c r="G278" s="32" t="n"/>
      <c r="H278" s="32" t="n"/>
      <c r="I278" s="37">
        <f>IF(B278="","",DATE(YEAR(B278),MONTH(B278),1))</f>
        <v/>
      </c>
    </row>
    <row r="279">
      <c r="B279" s="35" t="n"/>
      <c r="C279" s="32" t="n"/>
      <c r="D279" s="32" t="n"/>
      <c r="E279" s="32" t="n"/>
      <c r="F279" s="36" t="n"/>
      <c r="G279" s="32" t="n"/>
      <c r="H279" s="32" t="n"/>
      <c r="I279" s="37">
        <f>IF(B279="","",DATE(YEAR(B279),MONTH(B279),1))</f>
        <v/>
      </c>
    </row>
    <row r="280">
      <c r="B280" s="35" t="n"/>
      <c r="C280" s="32" t="n"/>
      <c r="D280" s="32" t="n"/>
      <c r="E280" s="32" t="n"/>
      <c r="F280" s="36" t="n"/>
      <c r="G280" s="32" t="n"/>
      <c r="H280" s="32" t="n"/>
      <c r="I280" s="37">
        <f>IF(B280="","",DATE(YEAR(B280),MONTH(B280),1))</f>
        <v/>
      </c>
    </row>
    <row r="281">
      <c r="B281" s="35" t="n"/>
      <c r="C281" s="32" t="n"/>
      <c r="D281" s="32" t="n"/>
      <c r="E281" s="32" t="n"/>
      <c r="F281" s="36" t="n"/>
      <c r="G281" s="32" t="n"/>
      <c r="H281" s="32" t="n"/>
      <c r="I281" s="37">
        <f>IF(B281="","",DATE(YEAR(B281),MONTH(B281),1))</f>
        <v/>
      </c>
    </row>
    <row r="282">
      <c r="B282" s="35" t="n"/>
      <c r="C282" s="32" t="n"/>
      <c r="D282" s="32" t="n"/>
      <c r="E282" s="32" t="n"/>
      <c r="F282" s="36" t="n"/>
      <c r="G282" s="32" t="n"/>
      <c r="H282" s="32" t="n"/>
      <c r="I282" s="37">
        <f>IF(B282="","",DATE(YEAR(B282),MONTH(B282),1))</f>
        <v/>
      </c>
    </row>
    <row r="283">
      <c r="B283" s="35" t="n"/>
      <c r="C283" s="32" t="n"/>
      <c r="D283" s="32" t="n"/>
      <c r="E283" s="32" t="n"/>
      <c r="F283" s="36" t="n"/>
      <c r="G283" s="32" t="n"/>
      <c r="H283" s="32" t="n"/>
      <c r="I283" s="37">
        <f>IF(B283="","",DATE(YEAR(B283),MONTH(B283),1))</f>
        <v/>
      </c>
    </row>
    <row r="284">
      <c r="B284" s="35" t="n"/>
      <c r="C284" s="32" t="n"/>
      <c r="D284" s="32" t="n"/>
      <c r="E284" s="32" t="n"/>
      <c r="F284" s="36" t="n"/>
      <c r="G284" s="32" t="n"/>
      <c r="H284" s="32" t="n"/>
      <c r="I284" s="37">
        <f>IF(B284="","",DATE(YEAR(B284),MONTH(B284),1))</f>
        <v/>
      </c>
    </row>
    <row r="285">
      <c r="B285" s="35" t="n"/>
      <c r="C285" s="32" t="n"/>
      <c r="D285" s="32" t="n"/>
      <c r="E285" s="32" t="n"/>
      <c r="F285" s="36" t="n"/>
      <c r="G285" s="32" t="n"/>
      <c r="H285" s="32" t="n"/>
      <c r="I285" s="37">
        <f>IF(B285="","",DATE(YEAR(B285),MONTH(B285),1))</f>
        <v/>
      </c>
    </row>
    <row r="286">
      <c r="B286" s="35" t="n"/>
      <c r="C286" s="32" t="n"/>
      <c r="D286" s="32" t="n"/>
      <c r="E286" s="32" t="n"/>
      <c r="F286" s="36" t="n"/>
      <c r="G286" s="32" t="n"/>
      <c r="H286" s="32" t="n"/>
      <c r="I286" s="37">
        <f>IF(B286="","",DATE(YEAR(B286),MONTH(B286),1))</f>
        <v/>
      </c>
    </row>
    <row r="287">
      <c r="B287" s="35" t="n"/>
      <c r="C287" s="32" t="n"/>
      <c r="D287" s="32" t="n"/>
      <c r="E287" s="32" t="n"/>
      <c r="F287" s="36" t="n"/>
      <c r="G287" s="32" t="n"/>
      <c r="H287" s="32" t="n"/>
      <c r="I287" s="37">
        <f>IF(B287="","",DATE(YEAR(B287),MONTH(B287),1))</f>
        <v/>
      </c>
    </row>
    <row r="288">
      <c r="B288" s="35" t="n"/>
      <c r="C288" s="32" t="n"/>
      <c r="D288" s="32" t="n"/>
      <c r="E288" s="32" t="n"/>
      <c r="F288" s="36" t="n"/>
      <c r="G288" s="32" t="n"/>
      <c r="H288" s="32" t="n"/>
      <c r="I288" s="37">
        <f>IF(B288="","",DATE(YEAR(B288),MONTH(B288),1))</f>
        <v/>
      </c>
    </row>
    <row r="289">
      <c r="B289" s="35" t="n"/>
      <c r="C289" s="32" t="n"/>
      <c r="D289" s="32" t="n"/>
      <c r="E289" s="32" t="n"/>
      <c r="F289" s="36" t="n"/>
      <c r="G289" s="32" t="n"/>
      <c r="H289" s="32" t="n"/>
      <c r="I289" s="37">
        <f>IF(B289="","",DATE(YEAR(B289),MONTH(B289),1))</f>
        <v/>
      </c>
    </row>
    <row r="290">
      <c r="B290" s="35" t="n"/>
      <c r="C290" s="32" t="n"/>
      <c r="D290" s="32" t="n"/>
      <c r="E290" s="32" t="n"/>
      <c r="F290" s="36" t="n"/>
      <c r="G290" s="32" t="n"/>
      <c r="H290" s="32" t="n"/>
      <c r="I290" s="37">
        <f>IF(B290="","",DATE(YEAR(B290),MONTH(B290),1))</f>
        <v/>
      </c>
    </row>
    <row r="291">
      <c r="B291" s="35" t="n"/>
      <c r="C291" s="32" t="n"/>
      <c r="D291" s="32" t="n"/>
      <c r="E291" s="32" t="n"/>
      <c r="F291" s="36" t="n"/>
      <c r="G291" s="32" t="n"/>
      <c r="H291" s="32" t="n"/>
      <c r="I291" s="37">
        <f>IF(B291="","",DATE(YEAR(B291),MONTH(B291),1))</f>
        <v/>
      </c>
    </row>
    <row r="292">
      <c r="B292" s="35" t="n"/>
      <c r="C292" s="32" t="n"/>
      <c r="D292" s="32" t="n"/>
      <c r="E292" s="32" t="n"/>
      <c r="F292" s="36" t="n"/>
      <c r="G292" s="32" t="n"/>
      <c r="H292" s="32" t="n"/>
      <c r="I292" s="37">
        <f>IF(B292="","",DATE(YEAR(B292),MONTH(B292),1))</f>
        <v/>
      </c>
    </row>
    <row r="293">
      <c r="B293" s="35" t="n"/>
      <c r="C293" s="32" t="n"/>
      <c r="D293" s="32" t="n"/>
      <c r="E293" s="32" t="n"/>
      <c r="F293" s="36" t="n"/>
      <c r="G293" s="32" t="n"/>
      <c r="H293" s="32" t="n"/>
      <c r="I293" s="37">
        <f>IF(B293="","",DATE(YEAR(B293),MONTH(B293),1))</f>
        <v/>
      </c>
    </row>
    <row r="294">
      <c r="B294" s="35" t="n"/>
      <c r="C294" s="32" t="n"/>
      <c r="D294" s="32" t="n"/>
      <c r="E294" s="32" t="n"/>
      <c r="F294" s="36" t="n"/>
      <c r="G294" s="32" t="n"/>
      <c r="H294" s="32" t="n"/>
      <c r="I294" s="37">
        <f>IF(B294="","",DATE(YEAR(B294),MONTH(B294),1))</f>
        <v/>
      </c>
    </row>
    <row r="295">
      <c r="B295" s="35" t="n"/>
      <c r="C295" s="32" t="n"/>
      <c r="D295" s="32" t="n"/>
      <c r="E295" s="32" t="n"/>
      <c r="F295" s="36" t="n"/>
      <c r="G295" s="32" t="n"/>
      <c r="H295" s="32" t="n"/>
      <c r="I295" s="37">
        <f>IF(B295="","",DATE(YEAR(B295),MONTH(B295),1))</f>
        <v/>
      </c>
    </row>
    <row r="296">
      <c r="B296" s="35" t="n"/>
      <c r="C296" s="32" t="n"/>
      <c r="D296" s="32" t="n"/>
      <c r="E296" s="32" t="n"/>
      <c r="F296" s="36" t="n"/>
      <c r="G296" s="32" t="n"/>
      <c r="H296" s="32" t="n"/>
      <c r="I296" s="37">
        <f>IF(B296="","",DATE(YEAR(B296),MONTH(B296),1))</f>
        <v/>
      </c>
    </row>
    <row r="297">
      <c r="B297" s="35" t="n"/>
      <c r="C297" s="32" t="n"/>
      <c r="D297" s="32" t="n"/>
      <c r="E297" s="32" t="n"/>
      <c r="F297" s="36" t="n"/>
      <c r="G297" s="32" t="n"/>
      <c r="H297" s="32" t="n"/>
      <c r="I297" s="37">
        <f>IF(B297="","",DATE(YEAR(B297),MONTH(B297),1))</f>
        <v/>
      </c>
    </row>
    <row r="298">
      <c r="B298" s="35" t="n"/>
      <c r="C298" s="32" t="n"/>
      <c r="D298" s="32" t="n"/>
      <c r="E298" s="32" t="n"/>
      <c r="F298" s="36" t="n"/>
      <c r="G298" s="32" t="n"/>
      <c r="H298" s="32" t="n"/>
      <c r="I298" s="37">
        <f>IF(B298="","",DATE(YEAR(B298),MONTH(B298),1))</f>
        <v/>
      </c>
    </row>
    <row r="299">
      <c r="B299" s="35" t="n"/>
      <c r="C299" s="32" t="n"/>
      <c r="D299" s="32" t="n"/>
      <c r="E299" s="32" t="n"/>
      <c r="F299" s="36" t="n"/>
      <c r="G299" s="32" t="n"/>
      <c r="H299" s="32" t="n"/>
      <c r="I299" s="37">
        <f>IF(B299="","",DATE(YEAR(B299),MONTH(B299),1))</f>
        <v/>
      </c>
    </row>
    <row r="300">
      <c r="B300" s="35" t="n"/>
      <c r="C300" s="32" t="n"/>
      <c r="D300" s="32" t="n"/>
      <c r="E300" s="32" t="n"/>
      <c r="F300" s="36" t="n"/>
      <c r="G300" s="32" t="n"/>
      <c r="H300" s="32" t="n"/>
      <c r="I300" s="37">
        <f>IF(B300="","",DATE(YEAR(B300),MONTH(B300),1))</f>
        <v/>
      </c>
    </row>
    <row r="301">
      <c r="B301" s="35" t="n"/>
      <c r="C301" s="32" t="n"/>
      <c r="D301" s="32" t="n"/>
      <c r="E301" s="32" t="n"/>
      <c r="F301" s="36" t="n"/>
      <c r="G301" s="32" t="n"/>
      <c r="H301" s="32" t="n"/>
      <c r="I301" s="37">
        <f>IF(B301="","",DATE(YEAR(B301),MONTH(B301),1))</f>
        <v/>
      </c>
    </row>
    <row r="302">
      <c r="B302" s="35" t="n"/>
      <c r="C302" s="32" t="n"/>
      <c r="D302" s="32" t="n"/>
      <c r="E302" s="32" t="n"/>
      <c r="F302" s="36" t="n"/>
      <c r="G302" s="32" t="n"/>
      <c r="H302" s="32" t="n"/>
      <c r="I302" s="37">
        <f>IF(B302="","",DATE(YEAR(B302),MONTH(B302),1))</f>
        <v/>
      </c>
    </row>
    <row r="303">
      <c r="B303" s="35" t="n"/>
      <c r="C303" s="32" t="n"/>
      <c r="D303" s="32" t="n"/>
      <c r="E303" s="32" t="n"/>
      <c r="F303" s="36" t="n"/>
      <c r="G303" s="32" t="n"/>
      <c r="H303" s="32" t="n"/>
      <c r="I303" s="37">
        <f>IF(B303="","",DATE(YEAR(B303),MONTH(B303),1))</f>
        <v/>
      </c>
    </row>
    <row r="304">
      <c r="B304" s="35" t="n"/>
      <c r="C304" s="32" t="n"/>
      <c r="D304" s="32" t="n"/>
      <c r="E304" s="32" t="n"/>
      <c r="F304" s="36" t="n"/>
      <c r="G304" s="32" t="n"/>
      <c r="H304" s="32" t="n"/>
      <c r="I304" s="37">
        <f>IF(B304="","",DATE(YEAR(B304),MONTH(B304),1))</f>
        <v/>
      </c>
    </row>
    <row r="305">
      <c r="B305" s="35" t="n"/>
      <c r="C305" s="32" t="n"/>
      <c r="D305" s="32" t="n"/>
      <c r="E305" s="32" t="n"/>
      <c r="F305" s="36" t="n"/>
      <c r="G305" s="32" t="n"/>
      <c r="H305" s="32" t="n"/>
      <c r="I305" s="37">
        <f>IF(B305="","",DATE(YEAR(B305),MONTH(B305),1))</f>
        <v/>
      </c>
    </row>
    <row r="306">
      <c r="B306" s="35" t="n"/>
      <c r="C306" s="32" t="n"/>
      <c r="D306" s="32" t="n"/>
      <c r="E306" s="32" t="n"/>
      <c r="F306" s="36" t="n"/>
      <c r="G306" s="32" t="n"/>
      <c r="H306" s="32" t="n"/>
      <c r="I306" s="37">
        <f>IF(B306="","",DATE(YEAR(B306),MONTH(B306),1))</f>
        <v/>
      </c>
    </row>
    <row r="307">
      <c r="B307" s="35" t="n"/>
      <c r="C307" s="32" t="n"/>
      <c r="D307" s="32" t="n"/>
      <c r="E307" s="32" t="n"/>
      <c r="F307" s="36" t="n"/>
      <c r="G307" s="32" t="n"/>
      <c r="H307" s="32" t="n"/>
      <c r="I307" s="37">
        <f>IF(B307="","",DATE(YEAR(B307),MONTH(B307),1))</f>
        <v/>
      </c>
    </row>
    <row r="308">
      <c r="B308" s="35" t="n"/>
      <c r="C308" s="32" t="n"/>
      <c r="D308" s="32" t="n"/>
      <c r="E308" s="32" t="n"/>
      <c r="F308" s="36" t="n"/>
      <c r="G308" s="32" t="n"/>
      <c r="H308" s="32" t="n"/>
      <c r="I308" s="37">
        <f>IF(B308="","",DATE(YEAR(B308),MONTH(B308),1))</f>
        <v/>
      </c>
    </row>
    <row r="309">
      <c r="B309" s="35" t="n"/>
      <c r="C309" s="32" t="n"/>
      <c r="D309" s="32" t="n"/>
      <c r="E309" s="32" t="n"/>
      <c r="F309" s="36" t="n"/>
      <c r="G309" s="32" t="n"/>
      <c r="H309" s="32" t="n"/>
      <c r="I309" s="37">
        <f>IF(B309="","",DATE(YEAR(B309),MONTH(B309),1))</f>
        <v/>
      </c>
    </row>
    <row r="310">
      <c r="B310" s="35" t="n"/>
      <c r="C310" s="32" t="n"/>
      <c r="D310" s="32" t="n"/>
      <c r="E310" s="32" t="n"/>
      <c r="F310" s="36" t="n"/>
      <c r="G310" s="32" t="n"/>
      <c r="H310" s="32" t="n"/>
      <c r="I310" s="37">
        <f>IF(B310="","",DATE(YEAR(B310),MONTH(B310),1))</f>
        <v/>
      </c>
    </row>
    <row r="311">
      <c r="B311" s="35" t="n"/>
      <c r="C311" s="32" t="n"/>
      <c r="D311" s="32" t="n"/>
      <c r="E311" s="32" t="n"/>
      <c r="F311" s="36" t="n"/>
      <c r="G311" s="32" t="n"/>
      <c r="H311" s="32" t="n"/>
      <c r="I311" s="37">
        <f>IF(B311="","",DATE(YEAR(B311),MONTH(B311),1))</f>
        <v/>
      </c>
    </row>
    <row r="312">
      <c r="B312" s="35" t="n"/>
      <c r="C312" s="32" t="n"/>
      <c r="D312" s="32" t="n"/>
      <c r="E312" s="32" t="n"/>
      <c r="F312" s="36" t="n"/>
      <c r="G312" s="32" t="n"/>
      <c r="H312" s="32" t="n"/>
      <c r="I312" s="37">
        <f>IF(B312="","",DATE(YEAR(B312),MONTH(B312),1))</f>
        <v/>
      </c>
    </row>
    <row r="313">
      <c r="B313" s="35" t="n"/>
      <c r="C313" s="32" t="n"/>
      <c r="D313" s="32" t="n"/>
      <c r="E313" s="32" t="n"/>
      <c r="F313" s="36" t="n"/>
      <c r="G313" s="32" t="n"/>
      <c r="H313" s="32" t="n"/>
      <c r="I313" s="37">
        <f>IF(B313="","",DATE(YEAR(B313),MONTH(B313),1))</f>
        <v/>
      </c>
    </row>
    <row r="314">
      <c r="B314" s="35" t="n"/>
      <c r="C314" s="32" t="n"/>
      <c r="D314" s="32" t="n"/>
      <c r="E314" s="32" t="n"/>
      <c r="F314" s="36" t="n"/>
      <c r="G314" s="32" t="n"/>
      <c r="H314" s="32" t="n"/>
      <c r="I314" s="37">
        <f>IF(B314="","",DATE(YEAR(B314),MONTH(B314),1))</f>
        <v/>
      </c>
    </row>
    <row r="315">
      <c r="B315" s="35" t="n"/>
      <c r="C315" s="32" t="n"/>
      <c r="D315" s="32" t="n"/>
      <c r="E315" s="32" t="n"/>
      <c r="F315" s="36" t="n"/>
      <c r="G315" s="32" t="n"/>
      <c r="H315" s="32" t="n"/>
      <c r="I315" s="37">
        <f>IF(B315="","",DATE(YEAR(B315),MONTH(B315),1))</f>
        <v/>
      </c>
    </row>
    <row r="316">
      <c r="B316" s="35" t="n"/>
      <c r="C316" s="32" t="n"/>
      <c r="D316" s="32" t="n"/>
      <c r="E316" s="32" t="n"/>
      <c r="F316" s="36" t="n"/>
      <c r="G316" s="32" t="n"/>
      <c r="H316" s="32" t="n"/>
      <c r="I316" s="37">
        <f>IF(B316="","",DATE(YEAR(B316),MONTH(B316),1))</f>
        <v/>
      </c>
    </row>
    <row r="317">
      <c r="B317" s="35" t="n"/>
      <c r="C317" s="32" t="n"/>
      <c r="D317" s="32" t="n"/>
      <c r="E317" s="32" t="n"/>
      <c r="F317" s="36" t="n"/>
      <c r="G317" s="32" t="n"/>
      <c r="H317" s="32" t="n"/>
      <c r="I317" s="37">
        <f>IF(B317="","",DATE(YEAR(B317),MONTH(B317),1))</f>
        <v/>
      </c>
    </row>
    <row r="318">
      <c r="B318" s="35" t="n"/>
      <c r="C318" s="32" t="n"/>
      <c r="D318" s="32" t="n"/>
      <c r="E318" s="32" t="n"/>
      <c r="F318" s="36" t="n"/>
      <c r="G318" s="32" t="n"/>
      <c r="H318" s="32" t="n"/>
      <c r="I318" s="37">
        <f>IF(B318="","",DATE(YEAR(B318),MONTH(B318),1))</f>
        <v/>
      </c>
    </row>
    <row r="319">
      <c r="B319" s="35" t="n"/>
      <c r="C319" s="32" t="n"/>
      <c r="D319" s="32" t="n"/>
      <c r="E319" s="32" t="n"/>
      <c r="F319" s="36" t="n"/>
      <c r="G319" s="32" t="n"/>
      <c r="H319" s="32" t="n"/>
      <c r="I319" s="37">
        <f>IF(B319="","",DATE(YEAR(B319),MONTH(B319),1))</f>
        <v/>
      </c>
    </row>
    <row r="320">
      <c r="B320" s="35" t="n"/>
      <c r="C320" s="32" t="n"/>
      <c r="D320" s="32" t="n"/>
      <c r="E320" s="32" t="n"/>
      <c r="F320" s="36" t="n"/>
      <c r="G320" s="32" t="n"/>
      <c r="H320" s="32" t="n"/>
      <c r="I320" s="37">
        <f>IF(B320="","",DATE(YEAR(B320),MONTH(B320),1))</f>
        <v/>
      </c>
    </row>
    <row r="321">
      <c r="B321" s="35" t="n"/>
      <c r="C321" s="32" t="n"/>
      <c r="D321" s="32" t="n"/>
      <c r="E321" s="32" t="n"/>
      <c r="F321" s="36" t="n"/>
      <c r="G321" s="32" t="n"/>
      <c r="H321" s="32" t="n"/>
      <c r="I321" s="37">
        <f>IF(B321="","",DATE(YEAR(B321),MONTH(B321),1))</f>
        <v/>
      </c>
    </row>
    <row r="322">
      <c r="B322" s="35" t="n"/>
      <c r="C322" s="32" t="n"/>
      <c r="D322" s="32" t="n"/>
      <c r="E322" s="32" t="n"/>
      <c r="F322" s="36" t="n"/>
      <c r="G322" s="32" t="n"/>
      <c r="H322" s="32" t="n"/>
      <c r="I322" s="37">
        <f>IF(B322="","",DATE(YEAR(B322),MONTH(B322),1))</f>
        <v/>
      </c>
    </row>
    <row r="323">
      <c r="B323" s="35" t="n"/>
      <c r="C323" s="32" t="n"/>
      <c r="D323" s="32" t="n"/>
      <c r="E323" s="32" t="n"/>
      <c r="F323" s="36" t="n"/>
      <c r="G323" s="32" t="n"/>
      <c r="H323" s="32" t="n"/>
      <c r="I323" s="37">
        <f>IF(B323="","",DATE(YEAR(B323),MONTH(B323),1))</f>
        <v/>
      </c>
    </row>
    <row r="324">
      <c r="B324" s="35" t="n"/>
      <c r="C324" s="32" t="n"/>
      <c r="D324" s="32" t="n"/>
      <c r="E324" s="32" t="n"/>
      <c r="F324" s="36" t="n"/>
      <c r="G324" s="32" t="n"/>
      <c r="H324" s="32" t="n"/>
      <c r="I324" s="37">
        <f>IF(B324="","",DATE(YEAR(B324),MONTH(B324),1))</f>
        <v/>
      </c>
    </row>
    <row r="325">
      <c r="B325" s="35" t="n"/>
      <c r="C325" s="32" t="n"/>
      <c r="D325" s="32" t="n"/>
      <c r="E325" s="32" t="n"/>
      <c r="F325" s="36" t="n"/>
      <c r="G325" s="32" t="n"/>
      <c r="H325" s="32" t="n"/>
      <c r="I325" s="37">
        <f>IF(B325="","",DATE(YEAR(B325),MONTH(B325),1))</f>
        <v/>
      </c>
    </row>
    <row r="326">
      <c r="B326" s="35" t="n"/>
      <c r="C326" s="32" t="n"/>
      <c r="D326" s="32" t="n"/>
      <c r="E326" s="32" t="n"/>
      <c r="F326" s="36" t="n"/>
      <c r="G326" s="32" t="n"/>
      <c r="H326" s="32" t="n"/>
      <c r="I326" s="37">
        <f>IF(B326="","",DATE(YEAR(B326),MONTH(B326),1))</f>
        <v/>
      </c>
    </row>
    <row r="327">
      <c r="B327" s="35" t="n"/>
      <c r="C327" s="32" t="n"/>
      <c r="D327" s="32" t="n"/>
      <c r="E327" s="32" t="n"/>
      <c r="F327" s="36" t="n"/>
      <c r="G327" s="32" t="n"/>
      <c r="H327" s="32" t="n"/>
      <c r="I327" s="37">
        <f>IF(B327="","",DATE(YEAR(B327),MONTH(B327),1))</f>
        <v/>
      </c>
    </row>
    <row r="328">
      <c r="B328" s="35" t="n"/>
      <c r="C328" s="32" t="n"/>
      <c r="D328" s="32" t="n"/>
      <c r="E328" s="32" t="n"/>
      <c r="F328" s="36" t="n"/>
      <c r="G328" s="32" t="n"/>
      <c r="H328" s="32" t="n"/>
      <c r="I328" s="37">
        <f>IF(B328="","",DATE(YEAR(B328),MONTH(B328),1))</f>
        <v/>
      </c>
    </row>
    <row r="329">
      <c r="B329" s="35" t="n"/>
      <c r="C329" s="32" t="n"/>
      <c r="D329" s="32" t="n"/>
      <c r="E329" s="32" t="n"/>
      <c r="F329" s="36" t="n"/>
      <c r="G329" s="32" t="n"/>
      <c r="H329" s="32" t="n"/>
      <c r="I329" s="37">
        <f>IF(B329="","",DATE(YEAR(B329),MONTH(B329),1))</f>
        <v/>
      </c>
    </row>
    <row r="330">
      <c r="B330" s="35" t="n"/>
      <c r="C330" s="32" t="n"/>
      <c r="D330" s="32" t="n"/>
      <c r="E330" s="32" t="n"/>
      <c r="F330" s="36" t="n"/>
      <c r="G330" s="32" t="n"/>
      <c r="H330" s="32" t="n"/>
      <c r="I330" s="37">
        <f>IF(B330="","",DATE(YEAR(B330),MONTH(B330),1))</f>
        <v/>
      </c>
    </row>
    <row r="331">
      <c r="B331" s="35" t="n"/>
      <c r="C331" s="32" t="n"/>
      <c r="D331" s="32" t="n"/>
      <c r="E331" s="32" t="n"/>
      <c r="F331" s="36" t="n"/>
      <c r="G331" s="32" t="n"/>
      <c r="H331" s="32" t="n"/>
      <c r="I331" s="37">
        <f>IF(B331="","",DATE(YEAR(B331),MONTH(B331),1))</f>
        <v/>
      </c>
    </row>
    <row r="332">
      <c r="B332" s="35" t="n"/>
      <c r="C332" s="32" t="n"/>
      <c r="D332" s="32" t="n"/>
      <c r="E332" s="32" t="n"/>
      <c r="F332" s="36" t="n"/>
      <c r="G332" s="32" t="n"/>
      <c r="H332" s="32" t="n"/>
      <c r="I332" s="37">
        <f>IF(B332="","",DATE(YEAR(B332),MONTH(B332),1))</f>
        <v/>
      </c>
    </row>
    <row r="333">
      <c r="B333" s="35" t="n"/>
      <c r="C333" s="32" t="n"/>
      <c r="D333" s="32" t="n"/>
      <c r="E333" s="32" t="n"/>
      <c r="F333" s="36" t="n"/>
      <c r="G333" s="32" t="n"/>
      <c r="H333" s="32" t="n"/>
      <c r="I333" s="37">
        <f>IF(B333="","",DATE(YEAR(B333),MONTH(B333),1))</f>
        <v/>
      </c>
    </row>
    <row r="334">
      <c r="B334" s="35" t="n"/>
      <c r="C334" s="32" t="n"/>
      <c r="D334" s="32" t="n"/>
      <c r="E334" s="32" t="n"/>
      <c r="F334" s="36" t="n"/>
      <c r="G334" s="32" t="n"/>
      <c r="H334" s="32" t="n"/>
      <c r="I334" s="37">
        <f>IF(B334="","",DATE(YEAR(B334),MONTH(B334),1))</f>
        <v/>
      </c>
    </row>
    <row r="335">
      <c r="B335" s="35" t="n"/>
      <c r="C335" s="32" t="n"/>
      <c r="D335" s="32" t="n"/>
      <c r="E335" s="32" t="n"/>
      <c r="F335" s="36" t="n"/>
      <c r="G335" s="32" t="n"/>
      <c r="H335" s="32" t="n"/>
      <c r="I335" s="37">
        <f>IF(B335="","",DATE(YEAR(B335),MONTH(B335),1))</f>
        <v/>
      </c>
    </row>
    <row r="336">
      <c r="B336" s="35" t="n"/>
      <c r="C336" s="32" t="n"/>
      <c r="D336" s="32" t="n"/>
      <c r="E336" s="32" t="n"/>
      <c r="F336" s="36" t="n"/>
      <c r="G336" s="32" t="n"/>
      <c r="H336" s="32" t="n"/>
      <c r="I336" s="37">
        <f>IF(B336="","",DATE(YEAR(B336),MONTH(B336),1))</f>
        <v/>
      </c>
    </row>
    <row r="337">
      <c r="B337" s="35" t="n"/>
      <c r="C337" s="32" t="n"/>
      <c r="D337" s="32" t="n"/>
      <c r="E337" s="32" t="n"/>
      <c r="F337" s="36" t="n"/>
      <c r="G337" s="32" t="n"/>
      <c r="H337" s="32" t="n"/>
      <c r="I337" s="37">
        <f>IF(B337="","",DATE(YEAR(B337),MONTH(B337),1))</f>
        <v/>
      </c>
    </row>
    <row r="338">
      <c r="B338" s="35" t="n"/>
      <c r="C338" s="32" t="n"/>
      <c r="D338" s="32" t="n"/>
      <c r="E338" s="32" t="n"/>
      <c r="F338" s="36" t="n"/>
      <c r="G338" s="32" t="n"/>
      <c r="H338" s="32" t="n"/>
      <c r="I338" s="37">
        <f>IF(B338="","",DATE(YEAR(B338),MONTH(B338),1))</f>
        <v/>
      </c>
    </row>
    <row r="339">
      <c r="B339" s="35" t="n"/>
      <c r="C339" s="32" t="n"/>
      <c r="D339" s="32" t="n"/>
      <c r="E339" s="32" t="n"/>
      <c r="F339" s="36" t="n"/>
      <c r="G339" s="32" t="n"/>
      <c r="H339" s="32" t="n"/>
      <c r="I339" s="37">
        <f>IF(B339="","",DATE(YEAR(B339),MONTH(B339),1))</f>
        <v/>
      </c>
    </row>
    <row r="340">
      <c r="B340" s="35" t="n"/>
      <c r="C340" s="32" t="n"/>
      <c r="D340" s="32" t="n"/>
      <c r="E340" s="32" t="n"/>
      <c r="F340" s="36" t="n"/>
      <c r="G340" s="32" t="n"/>
      <c r="H340" s="32" t="n"/>
      <c r="I340" s="37">
        <f>IF(B340="","",DATE(YEAR(B340),MONTH(B340),1))</f>
        <v/>
      </c>
    </row>
    <row r="341">
      <c r="B341" s="35" t="n"/>
      <c r="C341" s="32" t="n"/>
      <c r="D341" s="32" t="n"/>
      <c r="E341" s="32" t="n"/>
      <c r="F341" s="36" t="n"/>
      <c r="G341" s="32" t="n"/>
      <c r="H341" s="32" t="n"/>
      <c r="I341" s="37">
        <f>IF(B341="","",DATE(YEAR(B341),MONTH(B341),1))</f>
        <v/>
      </c>
    </row>
    <row r="342">
      <c r="B342" s="35" t="n"/>
      <c r="C342" s="32" t="n"/>
      <c r="D342" s="32" t="n"/>
      <c r="E342" s="32" t="n"/>
      <c r="F342" s="36" t="n"/>
      <c r="G342" s="32" t="n"/>
      <c r="H342" s="32" t="n"/>
      <c r="I342" s="37">
        <f>IF(B342="","",DATE(YEAR(B342),MONTH(B342),1))</f>
        <v/>
      </c>
    </row>
    <row r="343">
      <c r="B343" s="35" t="n"/>
      <c r="C343" s="32" t="n"/>
      <c r="D343" s="32" t="n"/>
      <c r="E343" s="32" t="n"/>
      <c r="F343" s="36" t="n"/>
      <c r="G343" s="32" t="n"/>
      <c r="H343" s="32" t="n"/>
      <c r="I343" s="37">
        <f>IF(B343="","",DATE(YEAR(B343),MONTH(B343),1))</f>
        <v/>
      </c>
    </row>
    <row r="344">
      <c r="B344" s="35" t="n"/>
      <c r="C344" s="32" t="n"/>
      <c r="D344" s="32" t="n"/>
      <c r="E344" s="32" t="n"/>
      <c r="F344" s="36" t="n"/>
      <c r="G344" s="32" t="n"/>
      <c r="H344" s="32" t="n"/>
      <c r="I344" s="37">
        <f>IF(B344="","",DATE(YEAR(B344),MONTH(B344),1))</f>
        <v/>
      </c>
    </row>
    <row r="345">
      <c r="B345" s="35" t="n"/>
      <c r="C345" s="32" t="n"/>
      <c r="D345" s="32" t="n"/>
      <c r="E345" s="32" t="n"/>
      <c r="F345" s="36" t="n"/>
      <c r="G345" s="32" t="n"/>
      <c r="H345" s="32" t="n"/>
      <c r="I345" s="37">
        <f>IF(B345="","",DATE(YEAR(B345),MONTH(B345),1))</f>
        <v/>
      </c>
    </row>
    <row r="346">
      <c r="B346" s="35" t="n"/>
      <c r="C346" s="32" t="n"/>
      <c r="D346" s="32" t="n"/>
      <c r="E346" s="32" t="n"/>
      <c r="F346" s="36" t="n"/>
      <c r="G346" s="32" t="n"/>
      <c r="H346" s="32" t="n"/>
      <c r="I346" s="37">
        <f>IF(B346="","",DATE(YEAR(B346),MONTH(B346),1))</f>
        <v/>
      </c>
    </row>
    <row r="347">
      <c r="B347" s="35" t="n"/>
      <c r="C347" s="32" t="n"/>
      <c r="D347" s="32" t="n"/>
      <c r="E347" s="32" t="n"/>
      <c r="F347" s="36" t="n"/>
      <c r="G347" s="32" t="n"/>
      <c r="H347" s="32" t="n"/>
      <c r="I347" s="37">
        <f>IF(B347="","",DATE(YEAR(B347),MONTH(B347),1))</f>
        <v/>
      </c>
    </row>
    <row r="348">
      <c r="B348" s="35" t="n"/>
      <c r="C348" s="32" t="n"/>
      <c r="D348" s="32" t="n"/>
      <c r="E348" s="32" t="n"/>
      <c r="F348" s="36" t="n"/>
      <c r="G348" s="32" t="n"/>
      <c r="H348" s="32" t="n"/>
      <c r="I348" s="37">
        <f>IF(B348="","",DATE(YEAR(B348),MONTH(B348),1))</f>
        <v/>
      </c>
    </row>
    <row r="349">
      <c r="B349" s="35" t="n"/>
      <c r="C349" s="32" t="n"/>
      <c r="D349" s="32" t="n"/>
      <c r="E349" s="32" t="n"/>
      <c r="F349" s="36" t="n"/>
      <c r="G349" s="32" t="n"/>
      <c r="H349" s="32" t="n"/>
      <c r="I349" s="37">
        <f>IF(B349="","",DATE(YEAR(B349),MONTH(B349),1))</f>
        <v/>
      </c>
    </row>
    <row r="350">
      <c r="B350" s="35" t="n"/>
      <c r="C350" s="32" t="n"/>
      <c r="D350" s="32" t="n"/>
      <c r="E350" s="32" t="n"/>
      <c r="F350" s="36" t="n"/>
      <c r="G350" s="32" t="n"/>
      <c r="H350" s="32" t="n"/>
      <c r="I350" s="37">
        <f>IF(B350="","",DATE(YEAR(B350),MONTH(B350),1))</f>
        <v/>
      </c>
    </row>
    <row r="351">
      <c r="B351" s="35" t="n"/>
      <c r="C351" s="32" t="n"/>
      <c r="D351" s="32" t="n"/>
      <c r="E351" s="32" t="n"/>
      <c r="F351" s="36" t="n"/>
      <c r="G351" s="32" t="n"/>
      <c r="H351" s="32" t="n"/>
      <c r="I351" s="37">
        <f>IF(B351="","",DATE(YEAR(B351),MONTH(B351),1))</f>
        <v/>
      </c>
    </row>
    <row r="352">
      <c r="B352" s="35" t="n"/>
      <c r="C352" s="32" t="n"/>
      <c r="D352" s="32" t="n"/>
      <c r="E352" s="32" t="n"/>
      <c r="F352" s="36" t="n"/>
      <c r="G352" s="32" t="n"/>
      <c r="H352" s="32" t="n"/>
      <c r="I352" s="37">
        <f>IF(B352="","",DATE(YEAR(B352),MONTH(B352),1))</f>
        <v/>
      </c>
    </row>
    <row r="353">
      <c r="B353" s="35" t="n"/>
      <c r="C353" s="32" t="n"/>
      <c r="D353" s="32" t="n"/>
      <c r="E353" s="32" t="n"/>
      <c r="F353" s="36" t="n"/>
      <c r="G353" s="32" t="n"/>
      <c r="H353" s="32" t="n"/>
      <c r="I353" s="37">
        <f>IF(B353="","",DATE(YEAR(B353),MONTH(B353),1))</f>
        <v/>
      </c>
    </row>
    <row r="354">
      <c r="B354" s="35" t="n"/>
      <c r="C354" s="32" t="n"/>
      <c r="D354" s="32" t="n"/>
      <c r="E354" s="32" t="n"/>
      <c r="F354" s="36" t="n"/>
      <c r="G354" s="32" t="n"/>
      <c r="H354" s="32" t="n"/>
      <c r="I354" s="37">
        <f>IF(B354="","",DATE(YEAR(B354),MONTH(B354),1))</f>
        <v/>
      </c>
    </row>
    <row r="355">
      <c r="B355" s="35" t="n"/>
      <c r="C355" s="32" t="n"/>
      <c r="D355" s="32" t="n"/>
      <c r="E355" s="32" t="n"/>
      <c r="F355" s="36" t="n"/>
      <c r="G355" s="32" t="n"/>
      <c r="H355" s="32" t="n"/>
      <c r="I355" s="37">
        <f>IF(B355="","",DATE(YEAR(B355),MONTH(B355),1))</f>
        <v/>
      </c>
    </row>
    <row r="356">
      <c r="B356" s="35" t="n"/>
      <c r="C356" s="32" t="n"/>
      <c r="D356" s="32" t="n"/>
      <c r="E356" s="32" t="n"/>
      <c r="F356" s="36" t="n"/>
      <c r="G356" s="32" t="n"/>
      <c r="H356" s="32" t="n"/>
      <c r="I356" s="37">
        <f>IF(B356="","",DATE(YEAR(B356),MONTH(B356),1))</f>
        <v/>
      </c>
    </row>
    <row r="357">
      <c r="B357" s="35" t="n"/>
      <c r="C357" s="32" t="n"/>
      <c r="D357" s="32" t="n"/>
      <c r="E357" s="32" t="n"/>
      <c r="F357" s="36" t="n"/>
      <c r="G357" s="32" t="n"/>
      <c r="H357" s="32" t="n"/>
      <c r="I357" s="37">
        <f>IF(B357="","",DATE(YEAR(B357),MONTH(B357),1))</f>
        <v/>
      </c>
    </row>
    <row r="358">
      <c r="B358" s="35" t="n"/>
      <c r="C358" s="32" t="n"/>
      <c r="D358" s="32" t="n"/>
      <c r="E358" s="32" t="n"/>
      <c r="F358" s="36" t="n"/>
      <c r="G358" s="32" t="n"/>
      <c r="H358" s="32" t="n"/>
      <c r="I358" s="37">
        <f>IF(B358="","",DATE(YEAR(B358),MONTH(B358),1))</f>
        <v/>
      </c>
    </row>
    <row r="359">
      <c r="B359" s="35" t="n"/>
      <c r="C359" s="32" t="n"/>
      <c r="D359" s="32" t="n"/>
      <c r="E359" s="32" t="n"/>
      <c r="F359" s="36" t="n"/>
      <c r="G359" s="32" t="n"/>
      <c r="H359" s="32" t="n"/>
      <c r="I359" s="37">
        <f>IF(B359="","",DATE(YEAR(B359),MONTH(B359),1))</f>
        <v/>
      </c>
    </row>
    <row r="360">
      <c r="B360" s="35" t="n"/>
      <c r="C360" s="32" t="n"/>
      <c r="D360" s="32" t="n"/>
      <c r="E360" s="32" t="n"/>
      <c r="F360" s="36" t="n"/>
      <c r="G360" s="32" t="n"/>
      <c r="H360" s="32" t="n"/>
      <c r="I360" s="37">
        <f>IF(B360="","",DATE(YEAR(B360),MONTH(B360),1))</f>
        <v/>
      </c>
    </row>
    <row r="361">
      <c r="B361" s="35" t="n"/>
      <c r="C361" s="32" t="n"/>
      <c r="D361" s="32" t="n"/>
      <c r="E361" s="32" t="n"/>
      <c r="F361" s="36" t="n"/>
      <c r="G361" s="32" t="n"/>
      <c r="H361" s="32" t="n"/>
      <c r="I361" s="37">
        <f>IF(B361="","",DATE(YEAR(B361),MONTH(B361),1))</f>
        <v/>
      </c>
    </row>
    <row r="362">
      <c r="B362" s="35" t="n"/>
      <c r="C362" s="32" t="n"/>
      <c r="D362" s="32" t="n"/>
      <c r="E362" s="32" t="n"/>
      <c r="F362" s="36" t="n"/>
      <c r="G362" s="32" t="n"/>
      <c r="H362" s="32" t="n"/>
      <c r="I362" s="37">
        <f>IF(B362="","",DATE(YEAR(B362),MONTH(B362),1))</f>
        <v/>
      </c>
    </row>
    <row r="363">
      <c r="B363" s="35" t="n"/>
      <c r="C363" s="32" t="n"/>
      <c r="D363" s="32" t="n"/>
      <c r="E363" s="32" t="n"/>
      <c r="F363" s="36" t="n"/>
      <c r="G363" s="32" t="n"/>
      <c r="H363" s="32" t="n"/>
      <c r="I363" s="37">
        <f>IF(B363="","",DATE(YEAR(B363),MONTH(B363),1))</f>
        <v/>
      </c>
    </row>
    <row r="364">
      <c r="B364" s="35" t="n"/>
      <c r="C364" s="32" t="n"/>
      <c r="D364" s="32" t="n"/>
      <c r="E364" s="32" t="n"/>
      <c r="F364" s="36" t="n"/>
      <c r="G364" s="32" t="n"/>
      <c r="H364" s="32" t="n"/>
      <c r="I364" s="37">
        <f>IF(B364="","",DATE(YEAR(B364),MONTH(B364),1))</f>
        <v/>
      </c>
    </row>
    <row r="365">
      <c r="B365" s="35" t="n"/>
      <c r="C365" s="32" t="n"/>
      <c r="D365" s="32" t="n"/>
      <c r="E365" s="32" t="n"/>
      <c r="F365" s="36" t="n"/>
      <c r="G365" s="32" t="n"/>
      <c r="H365" s="32" t="n"/>
      <c r="I365" s="37">
        <f>IF(B365="","",DATE(YEAR(B365),MONTH(B365),1))</f>
        <v/>
      </c>
    </row>
    <row r="366">
      <c r="B366" s="35" t="n"/>
      <c r="C366" s="32" t="n"/>
      <c r="D366" s="32" t="n"/>
      <c r="E366" s="32" t="n"/>
      <c r="F366" s="36" t="n"/>
      <c r="G366" s="32" t="n"/>
      <c r="H366" s="32" t="n"/>
      <c r="I366" s="37">
        <f>IF(B366="","",DATE(YEAR(B366),MONTH(B366),1))</f>
        <v/>
      </c>
    </row>
    <row r="367">
      <c r="B367" s="35" t="n"/>
      <c r="C367" s="32" t="n"/>
      <c r="D367" s="32" t="n"/>
      <c r="E367" s="32" t="n"/>
      <c r="F367" s="36" t="n"/>
      <c r="G367" s="32" t="n"/>
      <c r="H367" s="32" t="n"/>
      <c r="I367" s="37">
        <f>IF(B367="","",DATE(YEAR(B367),MONTH(B367),1))</f>
        <v/>
      </c>
    </row>
    <row r="368">
      <c r="B368" s="35" t="n"/>
      <c r="C368" s="32" t="n"/>
      <c r="D368" s="32" t="n"/>
      <c r="E368" s="32" t="n"/>
      <c r="F368" s="36" t="n"/>
      <c r="G368" s="32" t="n"/>
      <c r="H368" s="32" t="n"/>
      <c r="I368" s="37">
        <f>IF(B368="","",DATE(YEAR(B368),MONTH(B368),1))</f>
        <v/>
      </c>
    </row>
    <row r="369">
      <c r="B369" s="35" t="n"/>
      <c r="C369" s="32" t="n"/>
      <c r="D369" s="32" t="n"/>
      <c r="E369" s="32" t="n"/>
      <c r="F369" s="36" t="n"/>
      <c r="G369" s="32" t="n"/>
      <c r="H369" s="32" t="n"/>
      <c r="I369" s="37">
        <f>IF(B369="","",DATE(YEAR(B369),MONTH(B369),1))</f>
        <v/>
      </c>
    </row>
    <row r="370">
      <c r="B370" s="35" t="n"/>
      <c r="C370" s="32" t="n"/>
      <c r="D370" s="32" t="n"/>
      <c r="E370" s="32" t="n"/>
      <c r="F370" s="36" t="n"/>
      <c r="G370" s="32" t="n"/>
      <c r="H370" s="32" t="n"/>
      <c r="I370" s="37">
        <f>IF(B370="","",DATE(YEAR(B370),MONTH(B370),1))</f>
        <v/>
      </c>
    </row>
    <row r="371">
      <c r="B371" s="35" t="n"/>
      <c r="C371" s="32" t="n"/>
      <c r="D371" s="32" t="n"/>
      <c r="E371" s="32" t="n"/>
      <c r="F371" s="36" t="n"/>
      <c r="G371" s="32" t="n"/>
      <c r="H371" s="32" t="n"/>
      <c r="I371" s="37">
        <f>IF(B371="","",DATE(YEAR(B371),MONTH(B371),1))</f>
        <v/>
      </c>
    </row>
    <row r="372">
      <c r="B372" s="35" t="n"/>
      <c r="C372" s="32" t="n"/>
      <c r="D372" s="32" t="n"/>
      <c r="E372" s="32" t="n"/>
      <c r="F372" s="36" t="n"/>
      <c r="G372" s="32" t="n"/>
      <c r="H372" s="32" t="n"/>
      <c r="I372" s="37">
        <f>IF(B372="","",DATE(YEAR(B372),MONTH(B372),1))</f>
        <v/>
      </c>
    </row>
    <row r="373">
      <c r="B373" s="35" t="n"/>
      <c r="C373" s="32" t="n"/>
      <c r="D373" s="32" t="n"/>
      <c r="E373" s="32" t="n"/>
      <c r="F373" s="36" t="n"/>
      <c r="G373" s="32" t="n"/>
      <c r="H373" s="32" t="n"/>
      <c r="I373" s="37">
        <f>IF(B373="","",DATE(YEAR(B373),MONTH(B373),1))</f>
        <v/>
      </c>
    </row>
    <row r="374">
      <c r="B374" s="35" t="n"/>
      <c r="C374" s="32" t="n"/>
      <c r="D374" s="32" t="n"/>
      <c r="E374" s="32" t="n"/>
      <c r="F374" s="36" t="n"/>
      <c r="G374" s="32" t="n"/>
      <c r="H374" s="32" t="n"/>
      <c r="I374" s="37">
        <f>IF(B374="","",DATE(YEAR(B374),MONTH(B374),1))</f>
        <v/>
      </c>
    </row>
    <row r="375">
      <c r="B375" s="35" t="n"/>
      <c r="C375" s="32" t="n"/>
      <c r="D375" s="32" t="n"/>
      <c r="E375" s="32" t="n"/>
      <c r="F375" s="36" t="n"/>
      <c r="G375" s="32" t="n"/>
      <c r="H375" s="32" t="n"/>
      <c r="I375" s="37">
        <f>IF(B375="","",DATE(YEAR(B375),MONTH(B375),1))</f>
        <v/>
      </c>
    </row>
    <row r="376">
      <c r="B376" s="35" t="n"/>
      <c r="C376" s="32" t="n"/>
      <c r="D376" s="32" t="n"/>
      <c r="E376" s="32" t="n"/>
      <c r="F376" s="36" t="n"/>
      <c r="G376" s="32" t="n"/>
      <c r="H376" s="32" t="n"/>
      <c r="I376" s="37">
        <f>IF(B376="","",DATE(YEAR(B376),MONTH(B376),1))</f>
        <v/>
      </c>
    </row>
    <row r="377">
      <c r="B377" s="35" t="n"/>
      <c r="C377" s="32" t="n"/>
      <c r="D377" s="32" t="n"/>
      <c r="E377" s="32" t="n"/>
      <c r="F377" s="36" t="n"/>
      <c r="G377" s="32" t="n"/>
      <c r="H377" s="32" t="n"/>
      <c r="I377" s="37">
        <f>IF(B377="","",DATE(YEAR(B377),MONTH(B377),1))</f>
        <v/>
      </c>
    </row>
    <row r="378">
      <c r="B378" s="35" t="n"/>
      <c r="C378" s="32" t="n"/>
      <c r="D378" s="32" t="n"/>
      <c r="E378" s="32" t="n"/>
      <c r="F378" s="36" t="n"/>
      <c r="G378" s="32" t="n"/>
      <c r="H378" s="32" t="n"/>
      <c r="I378" s="37">
        <f>IF(B378="","",DATE(YEAR(B378),MONTH(B378),1))</f>
        <v/>
      </c>
    </row>
    <row r="379">
      <c r="B379" s="35" t="n"/>
      <c r="C379" s="32" t="n"/>
      <c r="D379" s="32" t="n"/>
      <c r="E379" s="32" t="n"/>
      <c r="F379" s="36" t="n"/>
      <c r="G379" s="32" t="n"/>
      <c r="H379" s="32" t="n"/>
      <c r="I379" s="37">
        <f>IF(B379="","",DATE(YEAR(B379),MONTH(B379),1))</f>
        <v/>
      </c>
    </row>
    <row r="380">
      <c r="B380" s="35" t="n"/>
      <c r="C380" s="32" t="n"/>
      <c r="D380" s="32" t="n"/>
      <c r="E380" s="32" t="n"/>
      <c r="F380" s="36" t="n"/>
      <c r="G380" s="32" t="n"/>
      <c r="H380" s="32" t="n"/>
      <c r="I380" s="37">
        <f>IF(B380="","",DATE(YEAR(B380),MONTH(B380),1))</f>
        <v/>
      </c>
    </row>
    <row r="381">
      <c r="B381" s="35" t="n"/>
      <c r="C381" s="32" t="n"/>
      <c r="D381" s="32" t="n"/>
      <c r="E381" s="32" t="n"/>
      <c r="F381" s="36" t="n"/>
      <c r="G381" s="32" t="n"/>
      <c r="H381" s="32" t="n"/>
      <c r="I381" s="37">
        <f>IF(B381="","",DATE(YEAR(B381),MONTH(B381),1))</f>
        <v/>
      </c>
    </row>
    <row r="382">
      <c r="B382" s="35" t="n"/>
      <c r="C382" s="32" t="n"/>
      <c r="D382" s="32" t="n"/>
      <c r="E382" s="32" t="n"/>
      <c r="F382" s="36" t="n"/>
      <c r="G382" s="32" t="n"/>
      <c r="H382" s="32" t="n"/>
      <c r="I382" s="37">
        <f>IF(B382="","",DATE(YEAR(B382),MONTH(B382),1))</f>
        <v/>
      </c>
    </row>
    <row r="383">
      <c r="B383" s="35" t="n"/>
      <c r="C383" s="32" t="n"/>
      <c r="D383" s="32" t="n"/>
      <c r="E383" s="32" t="n"/>
      <c r="F383" s="36" t="n"/>
      <c r="G383" s="32" t="n"/>
      <c r="H383" s="32" t="n"/>
      <c r="I383" s="37">
        <f>IF(B383="","",DATE(YEAR(B383),MONTH(B383),1))</f>
        <v/>
      </c>
    </row>
    <row r="384">
      <c r="B384" s="35" t="n"/>
      <c r="C384" s="32" t="n"/>
      <c r="D384" s="32" t="n"/>
      <c r="E384" s="32" t="n"/>
      <c r="F384" s="36" t="n"/>
      <c r="G384" s="32" t="n"/>
      <c r="H384" s="32" t="n"/>
      <c r="I384" s="37">
        <f>IF(B384="","",DATE(YEAR(B384),MONTH(B384),1))</f>
        <v/>
      </c>
    </row>
    <row r="385">
      <c r="B385" s="35" t="n"/>
      <c r="C385" s="32" t="n"/>
      <c r="D385" s="32" t="n"/>
      <c r="E385" s="32" t="n"/>
      <c r="F385" s="36" t="n"/>
      <c r="G385" s="32" t="n"/>
      <c r="H385" s="32" t="n"/>
      <c r="I385" s="37">
        <f>IF(B385="","",DATE(YEAR(B385),MONTH(B385),1))</f>
        <v/>
      </c>
    </row>
    <row r="386">
      <c r="B386" s="35" t="n"/>
      <c r="C386" s="32" t="n"/>
      <c r="D386" s="32" t="n"/>
      <c r="E386" s="32" t="n"/>
      <c r="F386" s="36" t="n"/>
      <c r="G386" s="32" t="n"/>
      <c r="H386" s="32" t="n"/>
      <c r="I386" s="37">
        <f>IF(B386="","",DATE(YEAR(B386),MONTH(B386),1))</f>
        <v/>
      </c>
    </row>
    <row r="387">
      <c r="B387" s="35" t="n"/>
      <c r="C387" s="32" t="n"/>
      <c r="D387" s="32" t="n"/>
      <c r="E387" s="32" t="n"/>
      <c r="F387" s="36" t="n"/>
      <c r="G387" s="32" t="n"/>
      <c r="H387" s="32" t="n"/>
      <c r="I387" s="37">
        <f>IF(B387="","",DATE(YEAR(B387),MONTH(B387),1))</f>
        <v/>
      </c>
    </row>
    <row r="388">
      <c r="B388" s="35" t="n"/>
      <c r="C388" s="32" t="n"/>
      <c r="D388" s="32" t="n"/>
      <c r="E388" s="32" t="n"/>
      <c r="F388" s="36" t="n"/>
      <c r="G388" s="32" t="n"/>
      <c r="H388" s="32" t="n"/>
      <c r="I388" s="37">
        <f>IF(B388="","",DATE(YEAR(B388),MONTH(B388),1))</f>
        <v/>
      </c>
    </row>
    <row r="389">
      <c r="B389" s="35" t="n"/>
      <c r="C389" s="32" t="n"/>
      <c r="D389" s="32" t="n"/>
      <c r="E389" s="32" t="n"/>
      <c r="F389" s="36" t="n"/>
      <c r="G389" s="32" t="n"/>
      <c r="H389" s="32" t="n"/>
      <c r="I389" s="37">
        <f>IF(B389="","",DATE(YEAR(B389),MONTH(B389),1))</f>
        <v/>
      </c>
    </row>
    <row r="390">
      <c r="B390" s="35" t="n"/>
      <c r="C390" s="32" t="n"/>
      <c r="D390" s="32" t="n"/>
      <c r="E390" s="32" t="n"/>
      <c r="F390" s="36" t="n"/>
      <c r="G390" s="32" t="n"/>
      <c r="H390" s="32" t="n"/>
      <c r="I390" s="37">
        <f>IF(B390="","",DATE(YEAR(B390),MONTH(B390),1))</f>
        <v/>
      </c>
    </row>
    <row r="391">
      <c r="B391" s="35" t="n"/>
      <c r="C391" s="32" t="n"/>
      <c r="D391" s="32" t="n"/>
      <c r="E391" s="32" t="n"/>
      <c r="F391" s="36" t="n"/>
      <c r="G391" s="32" t="n"/>
      <c r="H391" s="32" t="n"/>
      <c r="I391" s="37">
        <f>IF(B391="","",DATE(YEAR(B391),MONTH(B391),1))</f>
        <v/>
      </c>
    </row>
    <row r="392">
      <c r="B392" s="35" t="n"/>
      <c r="C392" s="32" t="n"/>
      <c r="D392" s="32" t="n"/>
      <c r="E392" s="32" t="n"/>
      <c r="F392" s="36" t="n"/>
      <c r="G392" s="32" t="n"/>
      <c r="H392" s="32" t="n"/>
      <c r="I392" s="37">
        <f>IF(B392="","",DATE(YEAR(B392),MONTH(B392),1))</f>
        <v/>
      </c>
    </row>
    <row r="393">
      <c r="B393" s="35" t="n"/>
      <c r="C393" s="32" t="n"/>
      <c r="D393" s="32" t="n"/>
      <c r="E393" s="32" t="n"/>
      <c r="F393" s="36" t="n"/>
      <c r="G393" s="32" t="n"/>
      <c r="H393" s="32" t="n"/>
      <c r="I393" s="37">
        <f>IF(B393="","",DATE(YEAR(B393),MONTH(B393),1))</f>
        <v/>
      </c>
    </row>
    <row r="394">
      <c r="B394" s="35" t="n"/>
      <c r="C394" s="32" t="n"/>
      <c r="D394" s="32" t="n"/>
      <c r="E394" s="32" t="n"/>
      <c r="F394" s="36" t="n"/>
      <c r="G394" s="32" t="n"/>
      <c r="H394" s="32" t="n"/>
      <c r="I394" s="37">
        <f>IF(B394="","",DATE(YEAR(B394),MONTH(B394),1))</f>
        <v/>
      </c>
    </row>
    <row r="395">
      <c r="B395" s="35" t="n"/>
      <c r="C395" s="32" t="n"/>
      <c r="D395" s="32" t="n"/>
      <c r="E395" s="32" t="n"/>
      <c r="F395" s="36" t="n"/>
      <c r="G395" s="32" t="n"/>
      <c r="H395" s="32" t="n"/>
      <c r="I395" s="37">
        <f>IF(B395="","",DATE(YEAR(B395),MONTH(B395),1))</f>
        <v/>
      </c>
    </row>
    <row r="396">
      <c r="B396" s="35" t="n"/>
      <c r="C396" s="32" t="n"/>
      <c r="D396" s="32" t="n"/>
      <c r="E396" s="32" t="n"/>
      <c r="F396" s="36" t="n"/>
      <c r="G396" s="32" t="n"/>
      <c r="H396" s="32" t="n"/>
      <c r="I396" s="37">
        <f>IF(B396="","",DATE(YEAR(B396),MONTH(B396),1))</f>
        <v/>
      </c>
    </row>
    <row r="397">
      <c r="B397" s="35" t="n"/>
      <c r="C397" s="32" t="n"/>
      <c r="D397" s="32" t="n"/>
      <c r="E397" s="32" t="n"/>
      <c r="F397" s="36" t="n"/>
      <c r="G397" s="32" t="n"/>
      <c r="H397" s="32" t="n"/>
      <c r="I397" s="37">
        <f>IF(B397="","",DATE(YEAR(B397),MONTH(B397),1))</f>
        <v/>
      </c>
    </row>
    <row r="398">
      <c r="B398" s="35" t="n"/>
      <c r="C398" s="32" t="n"/>
      <c r="D398" s="32" t="n"/>
      <c r="E398" s="32" t="n"/>
      <c r="F398" s="36" t="n"/>
      <c r="G398" s="32" t="n"/>
      <c r="H398" s="32" t="n"/>
      <c r="I398" s="37">
        <f>IF(B398="","",DATE(YEAR(B398),MONTH(B398),1))</f>
        <v/>
      </c>
    </row>
    <row r="399">
      <c r="B399" s="35" t="n"/>
      <c r="C399" s="32" t="n"/>
      <c r="D399" s="32" t="n"/>
      <c r="E399" s="32" t="n"/>
      <c r="F399" s="36" t="n"/>
      <c r="G399" s="32" t="n"/>
      <c r="H399" s="32" t="n"/>
      <c r="I399" s="37">
        <f>IF(B399="","",DATE(YEAR(B399),MONTH(B399),1))</f>
        <v/>
      </c>
    </row>
    <row r="400">
      <c r="B400" s="35" t="n"/>
      <c r="C400" s="32" t="n"/>
      <c r="D400" s="32" t="n"/>
      <c r="E400" s="32" t="n"/>
      <c r="F400" s="36" t="n"/>
      <c r="G400" s="32" t="n"/>
      <c r="H400" s="32" t="n"/>
      <c r="I400" s="37">
        <f>IF(B400="","",DATE(YEAR(B400),MONTH(B400),1))</f>
        <v/>
      </c>
    </row>
    <row r="401">
      <c r="B401" s="35" t="n"/>
      <c r="C401" s="32" t="n"/>
      <c r="D401" s="32" t="n"/>
      <c r="E401" s="32" t="n"/>
      <c r="F401" s="36" t="n"/>
      <c r="G401" s="32" t="n"/>
      <c r="H401" s="32" t="n"/>
      <c r="I401" s="37">
        <f>IF(B401="","",DATE(YEAR(B401),MONTH(B401),1))</f>
        <v/>
      </c>
    </row>
    <row r="402">
      <c r="B402" s="35" t="n"/>
      <c r="C402" s="32" t="n"/>
      <c r="D402" s="32" t="n"/>
      <c r="E402" s="32" t="n"/>
      <c r="F402" s="36" t="n"/>
      <c r="G402" s="32" t="n"/>
      <c r="H402" s="32" t="n"/>
      <c r="I402" s="37">
        <f>IF(B402="","",DATE(YEAR(B402),MONTH(B402),1))</f>
        <v/>
      </c>
    </row>
    <row r="403">
      <c r="B403" s="35" t="n"/>
      <c r="C403" s="32" t="n"/>
      <c r="D403" s="32" t="n"/>
      <c r="E403" s="32" t="n"/>
      <c r="F403" s="36" t="n"/>
      <c r="G403" s="32" t="n"/>
      <c r="H403" s="32" t="n"/>
      <c r="I403" s="37">
        <f>IF(B403="","",DATE(YEAR(B403),MONTH(B403),1))</f>
        <v/>
      </c>
    </row>
    <row r="404">
      <c r="B404" s="35" t="n"/>
      <c r="C404" s="32" t="n"/>
      <c r="D404" s="32" t="n"/>
      <c r="E404" s="32" t="n"/>
      <c r="F404" s="36" t="n"/>
      <c r="G404" s="32" t="n"/>
      <c r="H404" s="32" t="n"/>
      <c r="I404" s="37">
        <f>IF(B404="","",DATE(YEAR(B404),MONTH(B404),1))</f>
        <v/>
      </c>
    </row>
    <row r="405">
      <c r="B405" s="35" t="n"/>
      <c r="C405" s="32" t="n"/>
      <c r="D405" s="32" t="n"/>
      <c r="E405" s="32" t="n"/>
      <c r="F405" s="36" t="n"/>
      <c r="G405" s="32" t="n"/>
      <c r="H405" s="32" t="n"/>
      <c r="I405" s="37">
        <f>IF(B405="","",DATE(YEAR(B405),MONTH(B405),1))</f>
        <v/>
      </c>
    </row>
    <row r="406">
      <c r="B406" s="35" t="n"/>
      <c r="C406" s="32" t="n"/>
      <c r="D406" s="32" t="n"/>
      <c r="E406" s="32" t="n"/>
      <c r="F406" s="36" t="n"/>
      <c r="G406" s="32" t="n"/>
      <c r="H406" s="32" t="n"/>
      <c r="I406" s="37">
        <f>IF(B406="","",DATE(YEAR(B406),MONTH(B406),1))</f>
        <v/>
      </c>
    </row>
    <row r="407">
      <c r="B407" s="35" t="n"/>
      <c r="C407" s="32" t="n"/>
      <c r="D407" s="32" t="n"/>
      <c r="E407" s="32" t="n"/>
      <c r="F407" s="36" t="n"/>
      <c r="G407" s="32" t="n"/>
      <c r="H407" s="32" t="n"/>
      <c r="I407" s="37">
        <f>IF(B407="","",DATE(YEAR(B407),MONTH(B407),1))</f>
        <v/>
      </c>
    </row>
    <row r="408">
      <c r="B408" s="35" t="n"/>
      <c r="C408" s="32" t="n"/>
      <c r="D408" s="32" t="n"/>
      <c r="E408" s="32" t="n"/>
      <c r="F408" s="36" t="n"/>
      <c r="G408" s="32" t="n"/>
      <c r="H408" s="32" t="n"/>
      <c r="I408" s="37">
        <f>IF(B408="","",DATE(YEAR(B408),MONTH(B408),1))</f>
        <v/>
      </c>
    </row>
    <row r="409">
      <c r="B409" s="35" t="n"/>
      <c r="C409" s="32" t="n"/>
      <c r="D409" s="32" t="n"/>
      <c r="E409" s="32" t="n"/>
      <c r="F409" s="36" t="n"/>
      <c r="G409" s="32" t="n"/>
      <c r="H409" s="32" t="n"/>
      <c r="I409" s="37">
        <f>IF(B409="","",DATE(YEAR(B409),MONTH(B409),1))</f>
        <v/>
      </c>
    </row>
    <row r="410">
      <c r="B410" s="35" t="n"/>
      <c r="C410" s="32" t="n"/>
      <c r="D410" s="32" t="n"/>
      <c r="E410" s="32" t="n"/>
      <c r="F410" s="36" t="n"/>
      <c r="G410" s="32" t="n"/>
      <c r="H410" s="32" t="n"/>
      <c r="I410" s="37">
        <f>IF(B410="","",DATE(YEAR(B410),MONTH(B410),1))</f>
        <v/>
      </c>
    </row>
    <row r="411">
      <c r="B411" s="35" t="n"/>
      <c r="C411" s="32" t="n"/>
      <c r="D411" s="32" t="n"/>
      <c r="E411" s="32" t="n"/>
      <c r="F411" s="36" t="n"/>
      <c r="G411" s="32" t="n"/>
      <c r="H411" s="32" t="n"/>
      <c r="I411" s="37">
        <f>IF(B411="","",DATE(YEAR(B411),MONTH(B411),1))</f>
        <v/>
      </c>
    </row>
    <row r="412">
      <c r="B412" s="35" t="n"/>
      <c r="C412" s="32" t="n"/>
      <c r="D412" s="32" t="n"/>
      <c r="E412" s="32" t="n"/>
      <c r="F412" s="36" t="n"/>
      <c r="G412" s="32" t="n"/>
      <c r="H412" s="32" t="n"/>
      <c r="I412" s="37">
        <f>IF(B412="","",DATE(YEAR(B412),MONTH(B412),1))</f>
        <v/>
      </c>
    </row>
    <row r="413">
      <c r="B413" s="35" t="n"/>
      <c r="C413" s="32" t="n"/>
      <c r="D413" s="32" t="n"/>
      <c r="E413" s="32" t="n"/>
      <c r="F413" s="36" t="n"/>
      <c r="G413" s="32" t="n"/>
      <c r="H413" s="32" t="n"/>
      <c r="I413" s="37">
        <f>IF(B413="","",DATE(YEAR(B413),MONTH(B413),1))</f>
        <v/>
      </c>
    </row>
    <row r="414">
      <c r="B414" s="35" t="n"/>
      <c r="C414" s="32" t="n"/>
      <c r="D414" s="32" t="n"/>
      <c r="E414" s="32" t="n"/>
      <c r="F414" s="36" t="n"/>
      <c r="G414" s="32" t="n"/>
      <c r="H414" s="32" t="n"/>
      <c r="I414" s="37">
        <f>IF(B414="","",DATE(YEAR(B414),MONTH(B414),1))</f>
        <v/>
      </c>
    </row>
    <row r="415">
      <c r="B415" s="35" t="n"/>
      <c r="C415" s="32" t="n"/>
      <c r="D415" s="32" t="n"/>
      <c r="E415" s="32" t="n"/>
      <c r="F415" s="36" t="n"/>
      <c r="G415" s="32" t="n"/>
      <c r="H415" s="32" t="n"/>
      <c r="I415" s="37">
        <f>IF(B415="","",DATE(YEAR(B415),MONTH(B415),1))</f>
        <v/>
      </c>
    </row>
    <row r="416">
      <c r="B416" s="35" t="n"/>
      <c r="C416" s="32" t="n"/>
      <c r="D416" s="32" t="n"/>
      <c r="E416" s="32" t="n"/>
      <c r="F416" s="36" t="n"/>
      <c r="G416" s="32" t="n"/>
      <c r="H416" s="32" t="n"/>
      <c r="I416" s="37">
        <f>IF(B416="","",DATE(YEAR(B416),MONTH(B416),1))</f>
        <v/>
      </c>
    </row>
    <row r="417">
      <c r="B417" s="35" t="n"/>
      <c r="C417" s="32" t="n"/>
      <c r="D417" s="32" t="n"/>
      <c r="E417" s="32" t="n"/>
      <c r="F417" s="36" t="n"/>
      <c r="G417" s="32" t="n"/>
      <c r="H417" s="32" t="n"/>
      <c r="I417" s="37">
        <f>IF(B417="","",DATE(YEAR(B417),MONTH(B417),1))</f>
        <v/>
      </c>
    </row>
    <row r="418">
      <c r="B418" s="35" t="n"/>
      <c r="C418" s="32" t="n"/>
      <c r="D418" s="32" t="n"/>
      <c r="E418" s="32" t="n"/>
      <c r="F418" s="36" t="n"/>
      <c r="G418" s="32" t="n"/>
      <c r="H418" s="32" t="n"/>
      <c r="I418" s="37">
        <f>IF(B418="","",DATE(YEAR(B418),MONTH(B418),1))</f>
        <v/>
      </c>
    </row>
    <row r="419">
      <c r="B419" s="35" t="n"/>
      <c r="C419" s="32" t="n"/>
      <c r="D419" s="32" t="n"/>
      <c r="E419" s="32" t="n"/>
      <c r="F419" s="36" t="n"/>
      <c r="G419" s="32" t="n"/>
      <c r="H419" s="32" t="n"/>
      <c r="I419" s="37">
        <f>IF(B419="","",DATE(YEAR(B419),MONTH(B419),1))</f>
        <v/>
      </c>
    </row>
    <row r="420">
      <c r="B420" s="35" t="n"/>
      <c r="C420" s="32" t="n"/>
      <c r="D420" s="32" t="n"/>
      <c r="E420" s="32" t="n"/>
      <c r="F420" s="36" t="n"/>
      <c r="G420" s="32" t="n"/>
      <c r="H420" s="32" t="n"/>
      <c r="I420" s="37">
        <f>IF(B420="","",DATE(YEAR(B420),MONTH(B420),1))</f>
        <v/>
      </c>
    </row>
    <row r="421">
      <c r="B421" s="35" t="n"/>
      <c r="C421" s="32" t="n"/>
      <c r="D421" s="32" t="n"/>
      <c r="E421" s="32" t="n"/>
      <c r="F421" s="36" t="n"/>
      <c r="G421" s="32" t="n"/>
      <c r="H421" s="32" t="n"/>
      <c r="I421" s="37">
        <f>IF(B421="","",DATE(YEAR(B421),MONTH(B421),1))</f>
        <v/>
      </c>
    </row>
    <row r="422">
      <c r="B422" s="35" t="n"/>
      <c r="C422" s="32" t="n"/>
      <c r="D422" s="32" t="n"/>
      <c r="E422" s="32" t="n"/>
      <c r="F422" s="36" t="n"/>
      <c r="G422" s="32" t="n"/>
      <c r="H422" s="32" t="n"/>
      <c r="I422" s="37">
        <f>IF(B422="","",DATE(YEAR(B422),MONTH(B422),1))</f>
        <v/>
      </c>
    </row>
    <row r="423">
      <c r="B423" s="35" t="n"/>
      <c r="C423" s="32" t="n"/>
      <c r="D423" s="32" t="n"/>
      <c r="E423" s="32" t="n"/>
      <c r="F423" s="36" t="n"/>
      <c r="G423" s="32" t="n"/>
      <c r="H423" s="32" t="n"/>
      <c r="I423" s="37">
        <f>IF(B423="","",DATE(YEAR(B423),MONTH(B423),1))</f>
        <v/>
      </c>
    </row>
    <row r="424">
      <c r="B424" s="35" t="n"/>
      <c r="C424" s="32" t="n"/>
      <c r="D424" s="32" t="n"/>
      <c r="E424" s="32" t="n"/>
      <c r="F424" s="36" t="n"/>
      <c r="G424" s="32" t="n"/>
      <c r="H424" s="32" t="n"/>
      <c r="I424" s="37">
        <f>IF(B424="","",DATE(YEAR(B424),MONTH(B424),1))</f>
        <v/>
      </c>
    </row>
    <row r="425">
      <c r="B425" s="35" t="n"/>
      <c r="C425" s="32" t="n"/>
      <c r="D425" s="32" t="n"/>
      <c r="E425" s="32" t="n"/>
      <c r="F425" s="36" t="n"/>
      <c r="G425" s="32" t="n"/>
      <c r="H425" s="32" t="n"/>
      <c r="I425" s="37">
        <f>IF(B425="","",DATE(YEAR(B425),MONTH(B425),1))</f>
        <v/>
      </c>
    </row>
    <row r="426">
      <c r="B426" s="35" t="n"/>
      <c r="C426" s="32" t="n"/>
      <c r="D426" s="32" t="n"/>
      <c r="E426" s="32" t="n"/>
      <c r="F426" s="36" t="n"/>
      <c r="G426" s="32" t="n"/>
      <c r="H426" s="32" t="n"/>
      <c r="I426" s="37">
        <f>IF(B426="","",DATE(YEAR(B426),MONTH(B426),1))</f>
        <v/>
      </c>
    </row>
    <row r="427">
      <c r="B427" s="35" t="n"/>
      <c r="C427" s="32" t="n"/>
      <c r="D427" s="32" t="n"/>
      <c r="E427" s="32" t="n"/>
      <c r="F427" s="36" t="n"/>
      <c r="G427" s="32" t="n"/>
      <c r="H427" s="32" t="n"/>
      <c r="I427" s="37">
        <f>IF(B427="","",DATE(YEAR(B427),MONTH(B427),1))</f>
        <v/>
      </c>
    </row>
    <row r="428">
      <c r="B428" s="35" t="n"/>
      <c r="C428" s="32" t="n"/>
      <c r="D428" s="32" t="n"/>
      <c r="E428" s="32" t="n"/>
      <c r="F428" s="36" t="n"/>
      <c r="G428" s="32" t="n"/>
      <c r="H428" s="32" t="n"/>
      <c r="I428" s="37">
        <f>IF(B428="","",DATE(YEAR(B428),MONTH(B428),1))</f>
        <v/>
      </c>
    </row>
    <row r="429">
      <c r="B429" s="35" t="n"/>
      <c r="C429" s="32" t="n"/>
      <c r="D429" s="32" t="n"/>
      <c r="E429" s="32" t="n"/>
      <c r="F429" s="36" t="n"/>
      <c r="G429" s="32" t="n"/>
      <c r="H429" s="32" t="n"/>
      <c r="I429" s="37">
        <f>IF(B429="","",DATE(YEAR(B429),MONTH(B429),1))</f>
        <v/>
      </c>
    </row>
    <row r="430">
      <c r="B430" s="35" t="n"/>
      <c r="C430" s="32" t="n"/>
      <c r="D430" s="32" t="n"/>
      <c r="E430" s="32" t="n"/>
      <c r="F430" s="36" t="n"/>
      <c r="G430" s="32" t="n"/>
      <c r="H430" s="32" t="n"/>
      <c r="I430" s="37">
        <f>IF(B430="","",DATE(YEAR(B430),MONTH(B430),1))</f>
        <v/>
      </c>
    </row>
    <row r="431">
      <c r="B431" s="35" t="n"/>
      <c r="C431" s="32" t="n"/>
      <c r="D431" s="32" t="n"/>
      <c r="E431" s="32" t="n"/>
      <c r="F431" s="36" t="n"/>
      <c r="G431" s="32" t="n"/>
      <c r="H431" s="32" t="n"/>
      <c r="I431" s="37">
        <f>IF(B431="","",DATE(YEAR(B431),MONTH(B431),1))</f>
        <v/>
      </c>
    </row>
    <row r="432">
      <c r="B432" s="35" t="n"/>
      <c r="C432" s="32" t="n"/>
      <c r="D432" s="32" t="n"/>
      <c r="E432" s="32" t="n"/>
      <c r="F432" s="36" t="n"/>
      <c r="G432" s="32" t="n"/>
      <c r="H432" s="32" t="n"/>
      <c r="I432" s="37">
        <f>IF(B432="","",DATE(YEAR(B432),MONTH(B432),1))</f>
        <v/>
      </c>
    </row>
    <row r="433">
      <c r="B433" s="35" t="n"/>
      <c r="C433" s="32" t="n"/>
      <c r="D433" s="32" t="n"/>
      <c r="E433" s="32" t="n"/>
      <c r="F433" s="36" t="n"/>
      <c r="G433" s="32" t="n"/>
      <c r="H433" s="32" t="n"/>
      <c r="I433" s="37">
        <f>IF(B433="","",DATE(YEAR(B433),MONTH(B433),1))</f>
        <v/>
      </c>
    </row>
    <row r="434">
      <c r="B434" s="35" t="n"/>
      <c r="C434" s="32" t="n"/>
      <c r="D434" s="32" t="n"/>
      <c r="E434" s="32" t="n"/>
      <c r="F434" s="36" t="n"/>
      <c r="G434" s="32" t="n"/>
      <c r="H434" s="32" t="n"/>
      <c r="I434" s="37">
        <f>IF(B434="","",DATE(YEAR(B434),MONTH(B434),1))</f>
        <v/>
      </c>
    </row>
    <row r="435">
      <c r="B435" s="35" t="n"/>
      <c r="C435" s="32" t="n"/>
      <c r="D435" s="32" t="n"/>
      <c r="E435" s="32" t="n"/>
      <c r="F435" s="36" t="n"/>
      <c r="G435" s="32" t="n"/>
      <c r="H435" s="32" t="n"/>
      <c r="I435" s="37">
        <f>IF(B435="","",DATE(YEAR(B435),MONTH(B435),1))</f>
        <v/>
      </c>
    </row>
    <row r="436">
      <c r="B436" s="35" t="n"/>
      <c r="C436" s="32" t="n"/>
      <c r="D436" s="32" t="n"/>
      <c r="E436" s="32" t="n"/>
      <c r="F436" s="36" t="n"/>
      <c r="G436" s="32" t="n"/>
      <c r="H436" s="32" t="n"/>
      <c r="I436" s="37">
        <f>IF(B436="","",DATE(YEAR(B436),MONTH(B436),1))</f>
        <v/>
      </c>
    </row>
    <row r="437">
      <c r="B437" s="35" t="n"/>
      <c r="C437" s="32" t="n"/>
      <c r="D437" s="32" t="n"/>
      <c r="E437" s="32" t="n"/>
      <c r="F437" s="36" t="n"/>
      <c r="G437" s="32" t="n"/>
      <c r="H437" s="32" t="n"/>
      <c r="I437" s="37">
        <f>IF(B437="","",DATE(YEAR(B437),MONTH(B437),1))</f>
        <v/>
      </c>
    </row>
    <row r="438">
      <c r="B438" s="35" t="n"/>
      <c r="C438" s="32" t="n"/>
      <c r="D438" s="32" t="n"/>
      <c r="E438" s="32" t="n"/>
      <c r="F438" s="36" t="n"/>
      <c r="G438" s="32" t="n"/>
      <c r="H438" s="32" t="n"/>
      <c r="I438" s="37">
        <f>IF(B438="","",DATE(YEAR(B438),MONTH(B438),1))</f>
        <v/>
      </c>
    </row>
    <row r="439">
      <c r="B439" s="35" t="n"/>
      <c r="C439" s="32" t="n"/>
      <c r="D439" s="32" t="n"/>
      <c r="E439" s="32" t="n"/>
      <c r="F439" s="36" t="n"/>
      <c r="G439" s="32" t="n"/>
      <c r="H439" s="32" t="n"/>
      <c r="I439" s="37">
        <f>IF(B439="","",DATE(YEAR(B439),MONTH(B439),1))</f>
        <v/>
      </c>
    </row>
    <row r="440">
      <c r="B440" s="35" t="n"/>
      <c r="C440" s="32" t="n"/>
      <c r="D440" s="32" t="n"/>
      <c r="E440" s="32" t="n"/>
      <c r="F440" s="36" t="n"/>
      <c r="G440" s="32" t="n"/>
      <c r="H440" s="32" t="n"/>
      <c r="I440" s="37">
        <f>IF(B440="","",DATE(YEAR(B440),MONTH(B440),1))</f>
        <v/>
      </c>
    </row>
    <row r="441">
      <c r="B441" s="35" t="n"/>
      <c r="C441" s="32" t="n"/>
      <c r="D441" s="32" t="n"/>
      <c r="E441" s="32" t="n"/>
      <c r="F441" s="36" t="n"/>
      <c r="G441" s="32" t="n"/>
      <c r="H441" s="32" t="n"/>
      <c r="I441" s="37">
        <f>IF(B441="","",DATE(YEAR(B441),MONTH(B441),1))</f>
        <v/>
      </c>
    </row>
    <row r="442">
      <c r="B442" s="35" t="n"/>
      <c r="C442" s="32" t="n"/>
      <c r="D442" s="32" t="n"/>
      <c r="E442" s="32" t="n"/>
      <c r="F442" s="36" t="n"/>
      <c r="G442" s="32" t="n"/>
      <c r="H442" s="32" t="n"/>
      <c r="I442" s="37">
        <f>IF(B442="","",DATE(YEAR(B442),MONTH(B442),1))</f>
        <v/>
      </c>
    </row>
    <row r="443">
      <c r="B443" s="35" t="n"/>
      <c r="C443" s="32" t="n"/>
      <c r="D443" s="32" t="n"/>
      <c r="E443" s="32" t="n"/>
      <c r="F443" s="36" t="n"/>
      <c r="G443" s="32" t="n"/>
      <c r="H443" s="32" t="n"/>
      <c r="I443" s="37">
        <f>IF(B443="","",DATE(YEAR(B443),MONTH(B443),1))</f>
        <v/>
      </c>
    </row>
    <row r="444">
      <c r="B444" s="35" t="n"/>
      <c r="C444" s="32" t="n"/>
      <c r="D444" s="32" t="n"/>
      <c r="E444" s="32" t="n"/>
      <c r="F444" s="36" t="n"/>
      <c r="G444" s="32" t="n"/>
      <c r="H444" s="32" t="n"/>
      <c r="I444" s="37">
        <f>IF(B444="","",DATE(YEAR(B444),MONTH(B444),1))</f>
        <v/>
      </c>
    </row>
    <row r="445">
      <c r="B445" s="35" t="n"/>
      <c r="C445" s="32" t="n"/>
      <c r="D445" s="32" t="n"/>
      <c r="E445" s="32" t="n"/>
      <c r="F445" s="36" t="n"/>
      <c r="G445" s="32" t="n"/>
      <c r="H445" s="32" t="n"/>
      <c r="I445" s="37">
        <f>IF(B445="","",DATE(YEAR(B445),MONTH(B445),1))</f>
        <v/>
      </c>
    </row>
    <row r="446">
      <c r="B446" s="35" t="n"/>
      <c r="C446" s="32" t="n"/>
      <c r="D446" s="32" t="n"/>
      <c r="E446" s="32" t="n"/>
      <c r="F446" s="36" t="n"/>
      <c r="G446" s="32" t="n"/>
      <c r="H446" s="32" t="n"/>
      <c r="I446" s="37">
        <f>IF(B446="","",DATE(YEAR(B446),MONTH(B446),1))</f>
        <v/>
      </c>
    </row>
    <row r="447">
      <c r="B447" s="35" t="n"/>
      <c r="C447" s="32" t="n"/>
      <c r="D447" s="32" t="n"/>
      <c r="E447" s="32" t="n"/>
      <c r="F447" s="36" t="n"/>
      <c r="G447" s="32" t="n"/>
      <c r="H447" s="32" t="n"/>
      <c r="I447" s="37">
        <f>IF(B447="","",DATE(YEAR(B447),MONTH(B447),1))</f>
        <v/>
      </c>
    </row>
    <row r="448">
      <c r="B448" s="35" t="n"/>
      <c r="C448" s="32" t="n"/>
      <c r="D448" s="32" t="n"/>
      <c r="E448" s="32" t="n"/>
      <c r="F448" s="36" t="n"/>
      <c r="G448" s="32" t="n"/>
      <c r="H448" s="32" t="n"/>
      <c r="I448" s="37">
        <f>IF(B448="","",DATE(YEAR(B448),MONTH(B448),1))</f>
        <v/>
      </c>
    </row>
    <row r="449">
      <c r="B449" s="35" t="n"/>
      <c r="C449" s="32" t="n"/>
      <c r="D449" s="32" t="n"/>
      <c r="E449" s="32" t="n"/>
      <c r="F449" s="36" t="n"/>
      <c r="G449" s="32" t="n"/>
      <c r="H449" s="32" t="n"/>
      <c r="I449" s="37">
        <f>IF(B449="","",DATE(YEAR(B449),MONTH(B449),1))</f>
        <v/>
      </c>
    </row>
    <row r="450">
      <c r="B450" s="35" t="n"/>
      <c r="C450" s="32" t="n"/>
      <c r="D450" s="32" t="n"/>
      <c r="E450" s="32" t="n"/>
      <c r="F450" s="36" t="n"/>
      <c r="G450" s="32" t="n"/>
      <c r="H450" s="32" t="n"/>
      <c r="I450" s="37">
        <f>IF(B450="","",DATE(YEAR(B450),MONTH(B450),1))</f>
        <v/>
      </c>
    </row>
    <row r="451">
      <c r="B451" s="35" t="n"/>
      <c r="C451" s="32" t="n"/>
      <c r="D451" s="32" t="n"/>
      <c r="E451" s="32" t="n"/>
      <c r="F451" s="36" t="n"/>
      <c r="G451" s="32" t="n"/>
      <c r="H451" s="32" t="n"/>
      <c r="I451" s="37">
        <f>IF(B451="","",DATE(YEAR(B451),MONTH(B451),1))</f>
        <v/>
      </c>
    </row>
    <row r="452">
      <c r="B452" s="35" t="n"/>
      <c r="C452" s="32" t="n"/>
      <c r="D452" s="32" t="n"/>
      <c r="E452" s="32" t="n"/>
      <c r="F452" s="36" t="n"/>
      <c r="G452" s="32" t="n"/>
      <c r="H452" s="32" t="n"/>
      <c r="I452" s="37">
        <f>IF(B452="","",DATE(YEAR(B452),MONTH(B452),1))</f>
        <v/>
      </c>
    </row>
    <row r="453">
      <c r="B453" s="35" t="n"/>
      <c r="C453" s="32" t="n"/>
      <c r="D453" s="32" t="n"/>
      <c r="E453" s="32" t="n"/>
      <c r="F453" s="36" t="n"/>
      <c r="G453" s="32" t="n"/>
      <c r="H453" s="32" t="n"/>
      <c r="I453" s="37">
        <f>IF(B453="","",DATE(YEAR(B453),MONTH(B453),1))</f>
        <v/>
      </c>
    </row>
    <row r="454">
      <c r="B454" s="35" t="n"/>
      <c r="C454" s="32" t="n"/>
      <c r="D454" s="32" t="n"/>
      <c r="E454" s="32" t="n"/>
      <c r="F454" s="36" t="n"/>
      <c r="G454" s="32" t="n"/>
      <c r="H454" s="32" t="n"/>
      <c r="I454" s="37">
        <f>IF(B454="","",DATE(YEAR(B454),MONTH(B454),1))</f>
        <v/>
      </c>
    </row>
    <row r="455">
      <c r="B455" s="35" t="n"/>
      <c r="C455" s="32" t="n"/>
      <c r="D455" s="32" t="n"/>
      <c r="E455" s="32" t="n"/>
      <c r="F455" s="36" t="n"/>
      <c r="G455" s="32" t="n"/>
      <c r="H455" s="32" t="n"/>
      <c r="I455" s="37">
        <f>IF(B455="","",DATE(YEAR(B455),MONTH(B455),1))</f>
        <v/>
      </c>
    </row>
    <row r="456">
      <c r="B456" s="35" t="n"/>
      <c r="C456" s="32" t="n"/>
      <c r="D456" s="32" t="n"/>
      <c r="E456" s="32" t="n"/>
      <c r="F456" s="36" t="n"/>
      <c r="G456" s="32" t="n"/>
      <c r="H456" s="32" t="n"/>
      <c r="I456" s="37">
        <f>IF(B456="","",DATE(YEAR(B456),MONTH(B456),1))</f>
        <v/>
      </c>
    </row>
    <row r="457">
      <c r="B457" s="35" t="n"/>
      <c r="C457" s="32" t="n"/>
      <c r="D457" s="32" t="n"/>
      <c r="E457" s="32" t="n"/>
      <c r="F457" s="36" t="n"/>
      <c r="G457" s="32" t="n"/>
      <c r="H457" s="32" t="n"/>
      <c r="I457" s="37">
        <f>IF(B457="","",DATE(YEAR(B457),MONTH(B457),1))</f>
        <v/>
      </c>
    </row>
    <row r="458">
      <c r="B458" s="35" t="n"/>
      <c r="C458" s="32" t="n"/>
      <c r="D458" s="32" t="n"/>
      <c r="E458" s="32" t="n"/>
      <c r="F458" s="36" t="n"/>
      <c r="G458" s="32" t="n"/>
      <c r="H458" s="32" t="n"/>
      <c r="I458" s="37">
        <f>IF(B458="","",DATE(YEAR(B458),MONTH(B458),1))</f>
        <v/>
      </c>
    </row>
    <row r="459">
      <c r="B459" s="35" t="n"/>
      <c r="C459" s="32" t="n"/>
      <c r="D459" s="32" t="n"/>
      <c r="E459" s="32" t="n"/>
      <c r="F459" s="36" t="n"/>
      <c r="G459" s="32" t="n"/>
      <c r="H459" s="32" t="n"/>
      <c r="I459" s="37">
        <f>IF(B459="","",DATE(YEAR(B459),MONTH(B459),1))</f>
        <v/>
      </c>
    </row>
    <row r="460">
      <c r="B460" s="35" t="n"/>
      <c r="C460" s="32" t="n"/>
      <c r="D460" s="32" t="n"/>
      <c r="E460" s="32" t="n"/>
      <c r="F460" s="36" t="n"/>
      <c r="G460" s="32" t="n"/>
      <c r="H460" s="32" t="n"/>
      <c r="I460" s="37">
        <f>IF(B460="","",DATE(YEAR(B460),MONTH(B460),1))</f>
        <v/>
      </c>
    </row>
    <row r="461">
      <c r="B461" s="35" t="n"/>
      <c r="C461" s="32" t="n"/>
      <c r="D461" s="32" t="n"/>
      <c r="E461" s="32" t="n"/>
      <c r="F461" s="36" t="n"/>
      <c r="G461" s="32" t="n"/>
      <c r="H461" s="32" t="n"/>
      <c r="I461" s="37">
        <f>IF(B461="","",DATE(YEAR(B461),MONTH(B461),1))</f>
        <v/>
      </c>
    </row>
    <row r="462">
      <c r="B462" s="35" t="n"/>
      <c r="C462" s="32" t="n"/>
      <c r="D462" s="32" t="n"/>
      <c r="E462" s="32" t="n"/>
      <c r="F462" s="36" t="n"/>
      <c r="G462" s="32" t="n"/>
      <c r="H462" s="32" t="n"/>
      <c r="I462" s="37">
        <f>IF(B462="","",DATE(YEAR(B462),MONTH(B462),1))</f>
        <v/>
      </c>
    </row>
    <row r="463">
      <c r="B463" s="35" t="n"/>
      <c r="C463" s="32" t="n"/>
      <c r="D463" s="32" t="n"/>
      <c r="E463" s="32" t="n"/>
      <c r="F463" s="36" t="n"/>
      <c r="G463" s="32" t="n"/>
      <c r="H463" s="32" t="n"/>
      <c r="I463" s="37">
        <f>IF(B463="","",DATE(YEAR(B463),MONTH(B463),1))</f>
        <v/>
      </c>
    </row>
    <row r="464">
      <c r="B464" s="35" t="n"/>
      <c r="C464" s="32" t="n"/>
      <c r="D464" s="32" t="n"/>
      <c r="E464" s="32" t="n"/>
      <c r="F464" s="36" t="n"/>
      <c r="G464" s="32" t="n"/>
      <c r="H464" s="32" t="n"/>
      <c r="I464" s="37">
        <f>IF(B464="","",DATE(YEAR(B464),MONTH(B464),1))</f>
        <v/>
      </c>
    </row>
    <row r="465">
      <c r="B465" s="35" t="n"/>
      <c r="C465" s="32" t="n"/>
      <c r="D465" s="32" t="n"/>
      <c r="E465" s="32" t="n"/>
      <c r="F465" s="36" t="n"/>
      <c r="G465" s="32" t="n"/>
      <c r="H465" s="32" t="n"/>
      <c r="I465" s="37">
        <f>IF(B465="","",DATE(YEAR(B465),MONTH(B465),1))</f>
        <v/>
      </c>
    </row>
    <row r="466">
      <c r="B466" s="35" t="n"/>
      <c r="C466" s="32" t="n"/>
      <c r="D466" s="32" t="n"/>
      <c r="E466" s="32" t="n"/>
      <c r="F466" s="36" t="n"/>
      <c r="G466" s="32" t="n"/>
      <c r="H466" s="32" t="n"/>
      <c r="I466" s="37">
        <f>IF(B466="","",DATE(YEAR(B466),MONTH(B466),1))</f>
        <v/>
      </c>
    </row>
    <row r="467">
      <c r="B467" s="35" t="n"/>
      <c r="C467" s="32" t="n"/>
      <c r="D467" s="32" t="n"/>
      <c r="E467" s="32" t="n"/>
      <c r="F467" s="36" t="n"/>
      <c r="G467" s="32" t="n"/>
      <c r="H467" s="32" t="n"/>
      <c r="I467" s="37">
        <f>IF(B467="","",DATE(YEAR(B467),MONTH(B467),1))</f>
        <v/>
      </c>
    </row>
    <row r="468">
      <c r="B468" s="35" t="n"/>
      <c r="C468" s="32" t="n"/>
      <c r="D468" s="32" t="n"/>
      <c r="E468" s="32" t="n"/>
      <c r="F468" s="36" t="n"/>
      <c r="G468" s="32" t="n"/>
      <c r="H468" s="32" t="n"/>
      <c r="I468" s="37">
        <f>IF(B468="","",DATE(YEAR(B468),MONTH(B468),1))</f>
        <v/>
      </c>
    </row>
    <row r="469">
      <c r="B469" s="35" t="n"/>
      <c r="C469" s="32" t="n"/>
      <c r="D469" s="32" t="n"/>
      <c r="E469" s="32" t="n"/>
      <c r="F469" s="36" t="n"/>
      <c r="G469" s="32" t="n"/>
      <c r="H469" s="32" t="n"/>
      <c r="I469" s="37">
        <f>IF(B469="","",DATE(YEAR(B469),MONTH(B469),1))</f>
        <v/>
      </c>
    </row>
    <row r="470">
      <c r="B470" s="35" t="n"/>
      <c r="C470" s="32" t="n"/>
      <c r="D470" s="32" t="n"/>
      <c r="E470" s="32" t="n"/>
      <c r="F470" s="36" t="n"/>
      <c r="G470" s="32" t="n"/>
      <c r="H470" s="32" t="n"/>
      <c r="I470" s="37">
        <f>IF(B470="","",DATE(YEAR(B470),MONTH(B470),1))</f>
        <v/>
      </c>
    </row>
    <row r="471">
      <c r="B471" s="35" t="n"/>
      <c r="C471" s="32" t="n"/>
      <c r="D471" s="32" t="n"/>
      <c r="E471" s="32" t="n"/>
      <c r="F471" s="36" t="n"/>
      <c r="G471" s="32" t="n"/>
      <c r="H471" s="32" t="n"/>
      <c r="I471" s="37">
        <f>IF(B471="","",DATE(YEAR(B471),MONTH(B471),1))</f>
        <v/>
      </c>
    </row>
    <row r="472">
      <c r="B472" s="35" t="n"/>
      <c r="C472" s="32" t="n"/>
      <c r="D472" s="32" t="n"/>
      <c r="E472" s="32" t="n"/>
      <c r="F472" s="36" t="n"/>
      <c r="G472" s="32" t="n"/>
      <c r="H472" s="32" t="n"/>
      <c r="I472" s="37">
        <f>IF(B472="","",DATE(YEAR(B472),MONTH(B472),1))</f>
        <v/>
      </c>
    </row>
    <row r="473">
      <c r="B473" s="35" t="n"/>
      <c r="C473" s="32" t="n"/>
      <c r="D473" s="32" t="n"/>
      <c r="E473" s="32" t="n"/>
      <c r="F473" s="36" t="n"/>
      <c r="G473" s="32" t="n"/>
      <c r="H473" s="32" t="n"/>
      <c r="I473" s="37">
        <f>IF(B473="","",DATE(YEAR(B473),MONTH(B473),1))</f>
        <v/>
      </c>
    </row>
    <row r="474">
      <c r="B474" s="35" t="n"/>
      <c r="C474" s="32" t="n"/>
      <c r="D474" s="32" t="n"/>
      <c r="E474" s="32" t="n"/>
      <c r="F474" s="36" t="n"/>
      <c r="G474" s="32" t="n"/>
      <c r="H474" s="32" t="n"/>
      <c r="I474" s="37">
        <f>IF(B474="","",DATE(YEAR(B474),MONTH(B474),1))</f>
        <v/>
      </c>
    </row>
    <row r="475">
      <c r="B475" s="35" t="n"/>
      <c r="C475" s="32" t="n"/>
      <c r="D475" s="32" t="n"/>
      <c r="E475" s="32" t="n"/>
      <c r="F475" s="36" t="n"/>
      <c r="G475" s="32" t="n"/>
      <c r="H475" s="32" t="n"/>
      <c r="I475" s="37">
        <f>IF(B475="","",DATE(YEAR(B475),MONTH(B475),1))</f>
        <v/>
      </c>
    </row>
    <row r="476">
      <c r="B476" s="35" t="n"/>
      <c r="C476" s="32" t="n"/>
      <c r="D476" s="32" t="n"/>
      <c r="E476" s="32" t="n"/>
      <c r="F476" s="36" t="n"/>
      <c r="G476" s="32" t="n"/>
      <c r="H476" s="32" t="n"/>
      <c r="I476" s="37">
        <f>IF(B476="","",DATE(YEAR(B476),MONTH(B476),1))</f>
        <v/>
      </c>
    </row>
    <row r="477">
      <c r="B477" s="35" t="n"/>
      <c r="C477" s="32" t="n"/>
      <c r="D477" s="32" t="n"/>
      <c r="E477" s="32" t="n"/>
      <c r="F477" s="36" t="n"/>
      <c r="G477" s="32" t="n"/>
      <c r="H477" s="32" t="n"/>
      <c r="I477" s="37">
        <f>IF(B477="","",DATE(YEAR(B477),MONTH(B477),1))</f>
        <v/>
      </c>
    </row>
    <row r="478">
      <c r="B478" s="35" t="n"/>
      <c r="C478" s="32" t="n"/>
      <c r="D478" s="32" t="n"/>
      <c r="E478" s="32" t="n"/>
      <c r="F478" s="36" t="n"/>
      <c r="G478" s="32" t="n"/>
      <c r="H478" s="32" t="n"/>
      <c r="I478" s="37">
        <f>IF(B478="","",DATE(YEAR(B478),MONTH(B478),1))</f>
        <v/>
      </c>
    </row>
    <row r="479">
      <c r="B479" s="35" t="n"/>
      <c r="C479" s="32" t="n"/>
      <c r="D479" s="32" t="n"/>
      <c r="E479" s="32" t="n"/>
      <c r="F479" s="36" t="n"/>
      <c r="G479" s="32" t="n"/>
      <c r="H479" s="32" t="n"/>
      <c r="I479" s="37">
        <f>IF(B479="","",DATE(YEAR(B479),MONTH(B479),1))</f>
        <v/>
      </c>
    </row>
    <row r="480">
      <c r="B480" s="35" t="n"/>
      <c r="C480" s="32" t="n"/>
      <c r="D480" s="32" t="n"/>
      <c r="E480" s="32" t="n"/>
      <c r="F480" s="36" t="n"/>
      <c r="G480" s="32" t="n"/>
      <c r="H480" s="32" t="n"/>
      <c r="I480" s="37">
        <f>IF(B480="","",DATE(YEAR(B480),MONTH(B480),1))</f>
        <v/>
      </c>
    </row>
    <row r="481">
      <c r="B481" s="35" t="n"/>
      <c r="C481" s="32" t="n"/>
      <c r="D481" s="32" t="n"/>
      <c r="E481" s="32" t="n"/>
      <c r="F481" s="36" t="n"/>
      <c r="G481" s="32" t="n"/>
      <c r="H481" s="32" t="n"/>
      <c r="I481" s="37">
        <f>IF(B481="","",DATE(YEAR(B481),MONTH(B481),1))</f>
        <v/>
      </c>
    </row>
    <row r="482">
      <c r="B482" s="35" t="n"/>
      <c r="C482" s="32" t="n"/>
      <c r="D482" s="32" t="n"/>
      <c r="E482" s="32" t="n"/>
      <c r="F482" s="36" t="n"/>
      <c r="G482" s="32" t="n"/>
      <c r="H482" s="32" t="n"/>
      <c r="I482" s="37">
        <f>IF(B482="","",DATE(YEAR(B482),MONTH(B482),1))</f>
        <v/>
      </c>
    </row>
    <row r="483">
      <c r="B483" s="35" t="n"/>
      <c r="C483" s="32" t="n"/>
      <c r="D483" s="32" t="n"/>
      <c r="E483" s="32" t="n"/>
      <c r="F483" s="36" t="n"/>
      <c r="G483" s="32" t="n"/>
      <c r="H483" s="32" t="n"/>
      <c r="I483" s="37">
        <f>IF(B483="","",DATE(YEAR(B483),MONTH(B483),1))</f>
        <v/>
      </c>
    </row>
    <row r="484">
      <c r="B484" s="35" t="n"/>
      <c r="C484" s="32" t="n"/>
      <c r="D484" s="32" t="n"/>
      <c r="E484" s="32" t="n"/>
      <c r="F484" s="36" t="n"/>
      <c r="G484" s="32" t="n"/>
      <c r="H484" s="32" t="n"/>
      <c r="I484" s="37">
        <f>IF(B484="","",DATE(YEAR(B484),MONTH(B484),1))</f>
        <v/>
      </c>
    </row>
    <row r="485">
      <c r="B485" s="35" t="n"/>
      <c r="C485" s="32" t="n"/>
      <c r="D485" s="32" t="n"/>
      <c r="E485" s="32" t="n"/>
      <c r="F485" s="36" t="n"/>
      <c r="G485" s="32" t="n"/>
      <c r="H485" s="32" t="n"/>
      <c r="I485" s="37">
        <f>IF(B485="","",DATE(YEAR(B485),MONTH(B485),1))</f>
        <v/>
      </c>
    </row>
    <row r="486">
      <c r="B486" s="35" t="n"/>
      <c r="C486" s="32" t="n"/>
      <c r="D486" s="32" t="n"/>
      <c r="E486" s="32" t="n"/>
      <c r="F486" s="36" t="n"/>
      <c r="G486" s="32" t="n"/>
      <c r="H486" s="32" t="n"/>
      <c r="I486" s="37">
        <f>IF(B486="","",DATE(YEAR(B486),MONTH(B486),1))</f>
        <v/>
      </c>
    </row>
    <row r="487">
      <c r="B487" s="35" t="n"/>
      <c r="C487" s="32" t="n"/>
      <c r="D487" s="32" t="n"/>
      <c r="E487" s="32" t="n"/>
      <c r="F487" s="36" t="n"/>
      <c r="G487" s="32" t="n"/>
      <c r="H487" s="32" t="n"/>
      <c r="I487" s="37">
        <f>IF(B487="","",DATE(YEAR(B487),MONTH(B487),1))</f>
        <v/>
      </c>
    </row>
    <row r="488">
      <c r="B488" s="35" t="n"/>
      <c r="C488" s="32" t="n"/>
      <c r="D488" s="32" t="n"/>
      <c r="E488" s="32" t="n"/>
      <c r="F488" s="36" t="n"/>
      <c r="G488" s="32" t="n"/>
      <c r="H488" s="32" t="n"/>
      <c r="I488" s="37">
        <f>IF(B488="","",DATE(YEAR(B488),MONTH(B488),1))</f>
        <v/>
      </c>
    </row>
    <row r="489">
      <c r="B489" s="35" t="n"/>
      <c r="C489" s="32" t="n"/>
      <c r="D489" s="32" t="n"/>
      <c r="E489" s="32" t="n"/>
      <c r="F489" s="36" t="n"/>
      <c r="G489" s="32" t="n"/>
      <c r="H489" s="32" t="n"/>
      <c r="I489" s="37">
        <f>IF(B489="","",DATE(YEAR(B489),MONTH(B489),1))</f>
        <v/>
      </c>
    </row>
    <row r="490">
      <c r="B490" s="35" t="n"/>
      <c r="C490" s="32" t="n"/>
      <c r="D490" s="32" t="n"/>
      <c r="E490" s="32" t="n"/>
      <c r="F490" s="36" t="n"/>
      <c r="G490" s="32" t="n"/>
      <c r="H490" s="32" t="n"/>
      <c r="I490" s="37">
        <f>IF(B490="","",DATE(YEAR(B490),MONTH(B490),1))</f>
        <v/>
      </c>
    </row>
    <row r="491">
      <c r="B491" s="35" t="n"/>
      <c r="C491" s="32" t="n"/>
      <c r="D491" s="32" t="n"/>
      <c r="E491" s="32" t="n"/>
      <c r="F491" s="36" t="n"/>
      <c r="G491" s="32" t="n"/>
      <c r="H491" s="32" t="n"/>
      <c r="I491" s="37">
        <f>IF(B491="","",DATE(YEAR(B491),MONTH(B491),1))</f>
        <v/>
      </c>
    </row>
    <row r="492">
      <c r="B492" s="35" t="n"/>
      <c r="C492" s="32" t="n"/>
      <c r="D492" s="32" t="n"/>
      <c r="E492" s="32" t="n"/>
      <c r="F492" s="36" t="n"/>
      <c r="G492" s="32" t="n"/>
      <c r="H492" s="32" t="n"/>
      <c r="I492" s="37">
        <f>IF(B492="","",DATE(YEAR(B492),MONTH(B492),1))</f>
        <v/>
      </c>
    </row>
    <row r="493">
      <c r="B493" s="35" t="n"/>
      <c r="C493" s="32" t="n"/>
      <c r="D493" s="32" t="n"/>
      <c r="E493" s="32" t="n"/>
      <c r="F493" s="36" t="n"/>
      <c r="G493" s="32" t="n"/>
      <c r="H493" s="32" t="n"/>
      <c r="I493" s="37">
        <f>IF(B493="","",DATE(YEAR(B493),MONTH(B493),1))</f>
        <v/>
      </c>
    </row>
    <row r="494">
      <c r="B494" s="35" t="n"/>
      <c r="C494" s="32" t="n"/>
      <c r="D494" s="32" t="n"/>
      <c r="E494" s="32" t="n"/>
      <c r="F494" s="36" t="n"/>
      <c r="G494" s="32" t="n"/>
      <c r="H494" s="32" t="n"/>
      <c r="I494" s="37">
        <f>IF(B494="","",DATE(YEAR(B494),MONTH(B494),1))</f>
        <v/>
      </c>
    </row>
    <row r="495">
      <c r="B495" s="35" t="n"/>
      <c r="C495" s="32" t="n"/>
      <c r="D495" s="32" t="n"/>
      <c r="E495" s="32" t="n"/>
      <c r="F495" s="36" t="n"/>
      <c r="G495" s="32" t="n"/>
      <c r="H495" s="32" t="n"/>
      <c r="I495" s="37">
        <f>IF(B495="","",DATE(YEAR(B495),MONTH(B495),1))</f>
        <v/>
      </c>
    </row>
    <row r="496">
      <c r="B496" s="35" t="n"/>
      <c r="C496" s="32" t="n"/>
      <c r="D496" s="32" t="n"/>
      <c r="E496" s="32" t="n"/>
      <c r="F496" s="36" t="n"/>
      <c r="G496" s="32" t="n"/>
      <c r="H496" s="32" t="n"/>
      <c r="I496" s="37">
        <f>IF(B496="","",DATE(YEAR(B496),MONTH(B496),1))</f>
        <v/>
      </c>
    </row>
    <row r="497">
      <c r="B497" s="35" t="n"/>
      <c r="C497" s="32" t="n"/>
      <c r="D497" s="32" t="n"/>
      <c r="E497" s="32" t="n"/>
      <c r="F497" s="36" t="n"/>
      <c r="G497" s="32" t="n"/>
      <c r="H497" s="32" t="n"/>
      <c r="I497" s="37">
        <f>IF(B497="","",DATE(YEAR(B497),MONTH(B497),1))</f>
        <v/>
      </c>
    </row>
    <row r="498">
      <c r="B498" s="35" t="n"/>
      <c r="C498" s="32" t="n"/>
      <c r="D498" s="32" t="n"/>
      <c r="E498" s="32" t="n"/>
      <c r="F498" s="36" t="n"/>
      <c r="G498" s="32" t="n"/>
      <c r="H498" s="32" t="n"/>
      <c r="I498" s="37">
        <f>IF(B498="","",DATE(YEAR(B498),MONTH(B498),1))</f>
        <v/>
      </c>
    </row>
    <row r="499">
      <c r="B499" s="35" t="n"/>
      <c r="C499" s="32" t="n"/>
      <c r="D499" s="32" t="n"/>
      <c r="E499" s="32" t="n"/>
      <c r="F499" s="36" t="n"/>
      <c r="G499" s="32" t="n"/>
      <c r="H499" s="32" t="n"/>
      <c r="I499" s="37">
        <f>IF(B499="","",DATE(YEAR(B499),MONTH(B499),1))</f>
        <v/>
      </c>
    </row>
    <row r="500">
      <c r="B500" s="35" t="n"/>
      <c r="C500" s="32" t="n"/>
      <c r="D500" s="32" t="n"/>
      <c r="E500" s="32" t="n"/>
      <c r="F500" s="36" t="n"/>
      <c r="G500" s="32" t="n"/>
      <c r="H500" s="32" t="n"/>
      <c r="I500" s="37">
        <f>IF(B500="","",DATE(YEAR(B500),MONTH(B500),1))</f>
        <v/>
      </c>
    </row>
    <row r="501">
      <c r="B501" s="35" t="n"/>
      <c r="C501" s="32" t="n"/>
      <c r="D501" s="32" t="n"/>
      <c r="E501" s="32" t="n"/>
      <c r="F501" s="36" t="n"/>
      <c r="G501" s="32" t="n"/>
      <c r="H501" s="32" t="n"/>
      <c r="I501" s="37">
        <f>IF(B501="","",DATE(YEAR(B501),MONTH(B501),1))</f>
        <v/>
      </c>
    </row>
    <row r="502">
      <c r="B502" s="35" t="n"/>
      <c r="C502" s="32" t="n"/>
      <c r="D502" s="32" t="n"/>
      <c r="E502" s="32" t="n"/>
      <c r="F502" s="36" t="n"/>
      <c r="G502" s="32" t="n"/>
      <c r="H502" s="32" t="n"/>
      <c r="I502" s="37">
        <f>IF(B502="","",DATE(YEAR(B502),MONTH(B502),1))</f>
        <v/>
      </c>
    </row>
    <row r="503">
      <c r="B503" s="35" t="n"/>
      <c r="C503" s="32" t="n"/>
      <c r="D503" s="32" t="n"/>
      <c r="E503" s="32" t="n"/>
      <c r="F503" s="36" t="n"/>
      <c r="G503" s="32" t="n"/>
      <c r="H503" s="32" t="n"/>
      <c r="I503" s="37">
        <f>IF(B503="","",DATE(YEAR(B503),MONTH(B503),1))</f>
        <v/>
      </c>
    </row>
    <row r="504">
      <c r="B504" s="35" t="n"/>
      <c r="C504" s="32" t="n"/>
      <c r="D504" s="32" t="n"/>
      <c r="E504" s="32" t="n"/>
      <c r="F504" s="36" t="n"/>
      <c r="G504" s="32" t="n"/>
      <c r="H504" s="32" t="n"/>
      <c r="I504" s="37">
        <f>IF(B504="","",DATE(YEAR(B504),MONTH(B504),1))</f>
        <v/>
      </c>
    </row>
    <row r="505">
      <c r="B505" s="35" t="n"/>
      <c r="C505" s="32" t="n"/>
      <c r="D505" s="32" t="n"/>
      <c r="E505" s="32" t="n"/>
      <c r="F505" s="36" t="n"/>
      <c r="G505" s="32" t="n"/>
      <c r="H505" s="32" t="n"/>
      <c r="I505" s="37">
        <f>IF(B505="","",DATE(YEAR(B505),MONTH(B505),1))</f>
        <v/>
      </c>
    </row>
    <row r="506">
      <c r="B506" s="35" t="n"/>
      <c r="C506" s="32" t="n"/>
      <c r="D506" s="32" t="n"/>
      <c r="E506" s="32" t="n"/>
      <c r="F506" s="36" t="n"/>
      <c r="G506" s="32" t="n"/>
      <c r="H506" s="32" t="n"/>
      <c r="I506" s="37">
        <f>IF(B506="","",DATE(YEAR(B506),MONTH(B506),1))</f>
        <v/>
      </c>
    </row>
    <row r="507">
      <c r="B507" s="35" t="n"/>
      <c r="C507" s="32" t="n"/>
      <c r="D507" s="32" t="n"/>
      <c r="E507" s="32" t="n"/>
      <c r="F507" s="36" t="n"/>
      <c r="G507" s="32" t="n"/>
      <c r="H507" s="32" t="n"/>
      <c r="I507" s="37">
        <f>IF(B507="","",DATE(YEAR(B507),MONTH(B507),1))</f>
        <v/>
      </c>
    </row>
    <row r="508">
      <c r="B508" s="35" t="n"/>
      <c r="C508" s="32" t="n"/>
      <c r="D508" s="32" t="n"/>
      <c r="E508" s="32" t="n"/>
      <c r="F508" s="36" t="n"/>
      <c r="G508" s="32" t="n"/>
      <c r="H508" s="32" t="n"/>
      <c r="I508" s="37">
        <f>IF(B508="","",DATE(YEAR(B508),MONTH(B508),1))</f>
        <v/>
      </c>
    </row>
    <row r="509">
      <c r="B509" s="35" t="n"/>
      <c r="C509" s="32" t="n"/>
      <c r="D509" s="32" t="n"/>
      <c r="E509" s="32" t="n"/>
      <c r="F509" s="36" t="n"/>
      <c r="G509" s="32" t="n"/>
      <c r="H509" s="32" t="n"/>
      <c r="I509" s="37">
        <f>IF(B509="","",DATE(YEAR(B509),MONTH(B509),1))</f>
        <v/>
      </c>
    </row>
    <row r="510">
      <c r="B510" s="35" t="n"/>
      <c r="C510" s="32" t="n"/>
      <c r="D510" s="32" t="n"/>
      <c r="E510" s="32" t="n"/>
      <c r="F510" s="36" t="n"/>
      <c r="G510" s="32" t="n"/>
      <c r="H510" s="32" t="n"/>
      <c r="I510" s="37">
        <f>IF(B510="","",DATE(YEAR(B510),MONTH(B510),1))</f>
        <v/>
      </c>
    </row>
    <row r="511">
      <c r="B511" s="35" t="n"/>
      <c r="C511" s="32" t="n"/>
      <c r="D511" s="32" t="n"/>
      <c r="E511" s="32" t="n"/>
      <c r="F511" s="36" t="n"/>
      <c r="G511" s="32" t="n"/>
      <c r="H511" s="32" t="n"/>
      <c r="I511" s="37">
        <f>IF(B511="","",DATE(YEAR(B511),MONTH(B511),1))</f>
        <v/>
      </c>
    </row>
    <row r="512">
      <c r="B512" s="35" t="n"/>
      <c r="C512" s="32" t="n"/>
      <c r="D512" s="32" t="n"/>
      <c r="E512" s="32" t="n"/>
      <c r="F512" s="36" t="n"/>
      <c r="G512" s="32" t="n"/>
      <c r="H512" s="32" t="n"/>
      <c r="I512" s="37">
        <f>IF(B512="","",DATE(YEAR(B512),MONTH(B512),1))</f>
        <v/>
      </c>
    </row>
    <row r="513">
      <c r="B513" s="35" t="n"/>
      <c r="C513" s="32" t="n"/>
      <c r="D513" s="32" t="n"/>
      <c r="E513" s="32" t="n"/>
      <c r="F513" s="36" t="n"/>
      <c r="G513" s="32" t="n"/>
      <c r="H513" s="32" t="n"/>
      <c r="I513" s="37">
        <f>IF(B513="","",DATE(YEAR(B513),MONTH(B513),1))</f>
        <v/>
      </c>
    </row>
    <row r="514">
      <c r="B514" s="35" t="n"/>
      <c r="C514" s="32" t="n"/>
      <c r="D514" s="32" t="n"/>
      <c r="E514" s="32" t="n"/>
      <c r="F514" s="36" t="n"/>
      <c r="G514" s="32" t="n"/>
      <c r="H514" s="32" t="n"/>
      <c r="I514" s="37">
        <f>IF(B514="","",DATE(YEAR(B514),MONTH(B514),1))</f>
        <v/>
      </c>
    </row>
    <row r="515">
      <c r="B515" s="35" t="n"/>
      <c r="C515" s="32" t="n"/>
      <c r="D515" s="32" t="n"/>
      <c r="E515" s="32" t="n"/>
      <c r="F515" s="36" t="n"/>
      <c r="G515" s="32" t="n"/>
      <c r="H515" s="32" t="n"/>
      <c r="I515" s="37">
        <f>IF(B515="","",DATE(YEAR(B515),MONTH(B515),1))</f>
        <v/>
      </c>
    </row>
    <row r="516">
      <c r="B516" s="35" t="n"/>
      <c r="C516" s="32" t="n"/>
      <c r="D516" s="32" t="n"/>
      <c r="E516" s="32" t="n"/>
      <c r="F516" s="36" t="n"/>
      <c r="G516" s="32" t="n"/>
      <c r="H516" s="32" t="n"/>
      <c r="I516" s="37">
        <f>IF(B516="","",DATE(YEAR(B516),MONTH(B516),1))</f>
        <v/>
      </c>
    </row>
    <row r="517">
      <c r="B517" s="35" t="n"/>
      <c r="C517" s="32" t="n"/>
      <c r="D517" s="32" t="n"/>
      <c r="E517" s="32" t="n"/>
      <c r="F517" s="36" t="n"/>
      <c r="G517" s="32" t="n"/>
      <c r="H517" s="32" t="n"/>
      <c r="I517" s="37">
        <f>IF(B517="","",DATE(YEAR(B517),MONTH(B517),1))</f>
        <v/>
      </c>
    </row>
    <row r="518">
      <c r="B518" s="35" t="n"/>
      <c r="C518" s="32" t="n"/>
      <c r="D518" s="32" t="n"/>
      <c r="E518" s="32" t="n"/>
      <c r="F518" s="36" t="n"/>
      <c r="G518" s="32" t="n"/>
      <c r="H518" s="32" t="n"/>
      <c r="I518" s="37">
        <f>IF(B518="","",DATE(YEAR(B518),MONTH(B518),1))</f>
        <v/>
      </c>
    </row>
    <row r="519">
      <c r="B519" s="35" t="n"/>
      <c r="C519" s="32" t="n"/>
      <c r="D519" s="32" t="n"/>
      <c r="E519" s="32" t="n"/>
      <c r="F519" s="36" t="n"/>
      <c r="G519" s="32" t="n"/>
      <c r="H519" s="32" t="n"/>
      <c r="I519" s="37">
        <f>IF(B519="","",DATE(YEAR(B519),MONTH(B519),1))</f>
        <v/>
      </c>
    </row>
    <row r="520">
      <c r="B520" s="35" t="n"/>
      <c r="C520" s="32" t="n"/>
      <c r="D520" s="32" t="n"/>
      <c r="E520" s="32" t="n"/>
      <c r="F520" s="36" t="n"/>
      <c r="G520" s="32" t="n"/>
      <c r="H520" s="32" t="n"/>
      <c r="I520" s="37">
        <f>IF(B520="","",DATE(YEAR(B520),MONTH(B520),1))</f>
        <v/>
      </c>
    </row>
    <row r="521">
      <c r="B521" s="35" t="n"/>
      <c r="C521" s="32" t="n"/>
      <c r="D521" s="32" t="n"/>
      <c r="E521" s="32" t="n"/>
      <c r="F521" s="36" t="n"/>
      <c r="G521" s="32" t="n"/>
      <c r="H521" s="32" t="n"/>
      <c r="I521" s="37">
        <f>IF(B521="","",DATE(YEAR(B521),MONTH(B521),1))</f>
        <v/>
      </c>
    </row>
    <row r="522">
      <c r="B522" s="35" t="n"/>
      <c r="C522" s="32" t="n"/>
      <c r="D522" s="32" t="n"/>
      <c r="E522" s="32" t="n"/>
      <c r="F522" s="36" t="n"/>
      <c r="G522" s="32" t="n"/>
      <c r="H522" s="32" t="n"/>
      <c r="I522" s="37">
        <f>IF(B522="","",DATE(YEAR(B522),MONTH(B522),1))</f>
        <v/>
      </c>
    </row>
    <row r="523">
      <c r="B523" s="35" t="n"/>
      <c r="C523" s="32" t="n"/>
      <c r="D523" s="32" t="n"/>
      <c r="E523" s="32" t="n"/>
      <c r="F523" s="36" t="n"/>
      <c r="G523" s="32" t="n"/>
      <c r="H523" s="32" t="n"/>
      <c r="I523" s="37">
        <f>IF(B523="","",DATE(YEAR(B523),MONTH(B523),1))</f>
        <v/>
      </c>
    </row>
    <row r="524">
      <c r="B524" s="35" t="n"/>
      <c r="C524" s="32" t="n"/>
      <c r="D524" s="32" t="n"/>
      <c r="E524" s="32" t="n"/>
      <c r="F524" s="36" t="n"/>
      <c r="G524" s="32" t="n"/>
      <c r="H524" s="32" t="n"/>
      <c r="I524" s="37">
        <f>IF(B524="","",DATE(YEAR(B524),MONTH(B524),1))</f>
        <v/>
      </c>
    </row>
    <row r="525">
      <c r="B525" s="35" t="n"/>
      <c r="C525" s="32" t="n"/>
      <c r="D525" s="32" t="n"/>
      <c r="E525" s="32" t="n"/>
      <c r="F525" s="36" t="n"/>
      <c r="G525" s="32" t="n"/>
      <c r="H525" s="32" t="n"/>
      <c r="I525" s="37">
        <f>IF(B525="","",DATE(YEAR(B525),MONTH(B525),1))</f>
        <v/>
      </c>
    </row>
    <row r="526">
      <c r="B526" s="35" t="n"/>
      <c r="C526" s="32" t="n"/>
      <c r="D526" s="32" t="n"/>
      <c r="E526" s="32" t="n"/>
      <c r="F526" s="36" t="n"/>
      <c r="G526" s="32" t="n"/>
      <c r="H526" s="32" t="n"/>
      <c r="I526" s="37">
        <f>IF(B526="","",DATE(YEAR(B526),MONTH(B526),1))</f>
        <v/>
      </c>
    </row>
    <row r="527">
      <c r="B527" s="35" t="n"/>
      <c r="C527" s="32" t="n"/>
      <c r="D527" s="32" t="n"/>
      <c r="E527" s="32" t="n"/>
      <c r="F527" s="36" t="n"/>
      <c r="G527" s="32" t="n"/>
      <c r="H527" s="32" t="n"/>
      <c r="I527" s="37">
        <f>IF(B527="","",DATE(YEAR(B527),MONTH(B527),1))</f>
        <v/>
      </c>
    </row>
    <row r="528">
      <c r="B528" s="35" t="n"/>
      <c r="C528" s="32" t="n"/>
      <c r="D528" s="32" t="n"/>
      <c r="E528" s="32" t="n"/>
      <c r="F528" s="36" t="n"/>
      <c r="G528" s="32" t="n"/>
      <c r="H528" s="32" t="n"/>
      <c r="I528" s="37">
        <f>IF(B528="","",DATE(YEAR(B528),MONTH(B528),1))</f>
        <v/>
      </c>
    </row>
    <row r="529">
      <c r="B529" s="35" t="n"/>
      <c r="C529" s="32" t="n"/>
      <c r="D529" s="32" t="n"/>
      <c r="E529" s="32" t="n"/>
      <c r="F529" s="36" t="n"/>
      <c r="G529" s="32" t="n"/>
      <c r="H529" s="32" t="n"/>
      <c r="I529" s="37">
        <f>IF(B529="","",DATE(YEAR(B529),MONTH(B529),1))</f>
        <v/>
      </c>
    </row>
    <row r="530">
      <c r="B530" s="35" t="n"/>
      <c r="C530" s="32" t="n"/>
      <c r="D530" s="32" t="n"/>
      <c r="E530" s="32" t="n"/>
      <c r="F530" s="36" t="n"/>
      <c r="G530" s="32" t="n"/>
      <c r="H530" s="32" t="n"/>
      <c r="I530" s="37">
        <f>IF(B530="","",DATE(YEAR(B530),MONTH(B530),1))</f>
        <v/>
      </c>
    </row>
    <row r="531">
      <c r="B531" s="35" t="n"/>
      <c r="C531" s="32" t="n"/>
      <c r="D531" s="32" t="n"/>
      <c r="E531" s="32" t="n"/>
      <c r="F531" s="36" t="n"/>
      <c r="G531" s="32" t="n"/>
      <c r="H531" s="32" t="n"/>
      <c r="I531" s="37">
        <f>IF(B531="","",DATE(YEAR(B531),MONTH(B531),1))</f>
        <v/>
      </c>
    </row>
    <row r="532">
      <c r="B532" s="35" t="n"/>
      <c r="C532" s="32" t="n"/>
      <c r="D532" s="32" t="n"/>
      <c r="E532" s="32" t="n"/>
      <c r="F532" s="36" t="n"/>
      <c r="G532" s="32" t="n"/>
      <c r="H532" s="32" t="n"/>
      <c r="I532" s="37">
        <f>IF(B532="","",DATE(YEAR(B532),MONTH(B532),1))</f>
        <v/>
      </c>
    </row>
    <row r="533">
      <c r="B533" s="35" t="n"/>
      <c r="C533" s="32" t="n"/>
      <c r="D533" s="32" t="n"/>
      <c r="E533" s="32" t="n"/>
      <c r="F533" s="36" t="n"/>
      <c r="G533" s="32" t="n"/>
      <c r="H533" s="32" t="n"/>
      <c r="I533" s="37">
        <f>IF(B533="","",DATE(YEAR(B533),MONTH(B533),1))</f>
        <v/>
      </c>
    </row>
    <row r="534">
      <c r="B534" s="35" t="n"/>
      <c r="C534" s="32" t="n"/>
      <c r="D534" s="32" t="n"/>
      <c r="E534" s="32" t="n"/>
      <c r="F534" s="36" t="n"/>
      <c r="G534" s="32" t="n"/>
      <c r="H534" s="32" t="n"/>
      <c r="I534" s="37">
        <f>IF(B534="","",DATE(YEAR(B534),MONTH(B534),1))</f>
        <v/>
      </c>
    </row>
    <row r="535">
      <c r="B535" s="35" t="n"/>
      <c r="C535" s="32" t="n"/>
      <c r="D535" s="32" t="n"/>
      <c r="E535" s="32" t="n"/>
      <c r="F535" s="36" t="n"/>
      <c r="G535" s="32" t="n"/>
      <c r="H535" s="32" t="n"/>
      <c r="I535" s="37">
        <f>IF(B535="","",DATE(YEAR(B535),MONTH(B535),1))</f>
        <v/>
      </c>
    </row>
    <row r="536">
      <c r="B536" s="35" t="n"/>
      <c r="C536" s="32" t="n"/>
      <c r="D536" s="32" t="n"/>
      <c r="E536" s="32" t="n"/>
      <c r="F536" s="36" t="n"/>
      <c r="G536" s="32" t="n"/>
      <c r="H536" s="32" t="n"/>
      <c r="I536" s="37">
        <f>IF(B536="","",DATE(YEAR(B536),MONTH(B536),1))</f>
        <v/>
      </c>
    </row>
    <row r="537">
      <c r="B537" s="35" t="n"/>
      <c r="C537" s="32" t="n"/>
      <c r="D537" s="32" t="n"/>
      <c r="E537" s="32" t="n"/>
      <c r="F537" s="36" t="n"/>
      <c r="G537" s="32" t="n"/>
      <c r="H537" s="32" t="n"/>
      <c r="I537" s="37">
        <f>IF(B537="","",DATE(YEAR(B537),MONTH(B537),1))</f>
        <v/>
      </c>
    </row>
    <row r="538">
      <c r="B538" s="35" t="n"/>
      <c r="C538" s="32" t="n"/>
      <c r="D538" s="32" t="n"/>
      <c r="E538" s="32" t="n"/>
      <c r="F538" s="36" t="n"/>
      <c r="G538" s="32" t="n"/>
      <c r="H538" s="32" t="n"/>
      <c r="I538" s="37">
        <f>IF(B538="","",DATE(YEAR(B538),MONTH(B538),1))</f>
        <v/>
      </c>
    </row>
    <row r="539">
      <c r="B539" s="35" t="n"/>
      <c r="C539" s="32" t="n"/>
      <c r="D539" s="32" t="n"/>
      <c r="E539" s="32" t="n"/>
      <c r="F539" s="36" t="n"/>
      <c r="G539" s="32" t="n"/>
      <c r="H539" s="32" t="n"/>
      <c r="I539" s="37">
        <f>IF(B539="","",DATE(YEAR(B539),MONTH(B539),1))</f>
        <v/>
      </c>
    </row>
    <row r="540">
      <c r="B540" s="35" t="n"/>
      <c r="C540" s="32" t="n"/>
      <c r="D540" s="32" t="n"/>
      <c r="E540" s="32" t="n"/>
      <c r="F540" s="36" t="n"/>
      <c r="G540" s="32" t="n"/>
      <c r="H540" s="32" t="n"/>
      <c r="I540" s="37">
        <f>IF(B540="","",DATE(YEAR(B540),MONTH(B540),1))</f>
        <v/>
      </c>
    </row>
    <row r="541">
      <c r="B541" s="35" t="n"/>
      <c r="C541" s="32" t="n"/>
      <c r="D541" s="32" t="n"/>
      <c r="E541" s="32" t="n"/>
      <c r="F541" s="36" t="n"/>
      <c r="G541" s="32" t="n"/>
      <c r="H541" s="32" t="n"/>
      <c r="I541" s="37">
        <f>IF(B541="","",DATE(YEAR(B541),MONTH(B541),1))</f>
        <v/>
      </c>
    </row>
    <row r="542">
      <c r="B542" s="35" t="n"/>
      <c r="C542" s="32" t="n"/>
      <c r="D542" s="32" t="n"/>
      <c r="E542" s="32" t="n"/>
      <c r="F542" s="36" t="n"/>
      <c r="G542" s="32" t="n"/>
      <c r="H542" s="32" t="n"/>
      <c r="I542" s="37">
        <f>IF(B542="","",DATE(YEAR(B542),MONTH(B542),1))</f>
        <v/>
      </c>
    </row>
    <row r="543">
      <c r="B543" s="35" t="n"/>
      <c r="C543" s="32" t="n"/>
      <c r="D543" s="32" t="n"/>
      <c r="E543" s="32" t="n"/>
      <c r="F543" s="36" t="n"/>
      <c r="G543" s="32" t="n"/>
      <c r="H543" s="32" t="n"/>
      <c r="I543" s="37">
        <f>IF(B543="","",DATE(YEAR(B543),MONTH(B543),1))</f>
        <v/>
      </c>
    </row>
    <row r="544">
      <c r="B544" s="35" t="n"/>
      <c r="C544" s="32" t="n"/>
      <c r="D544" s="32" t="n"/>
      <c r="E544" s="32" t="n"/>
      <c r="F544" s="36" t="n"/>
      <c r="G544" s="32" t="n"/>
      <c r="H544" s="32" t="n"/>
      <c r="I544" s="37">
        <f>IF(B544="","",DATE(YEAR(B544),MONTH(B544),1))</f>
        <v/>
      </c>
    </row>
    <row r="545">
      <c r="B545" s="35" t="n"/>
      <c r="C545" s="32" t="n"/>
      <c r="D545" s="32" t="n"/>
      <c r="E545" s="32" t="n"/>
      <c r="F545" s="36" t="n"/>
      <c r="G545" s="32" t="n"/>
      <c r="H545" s="32" t="n"/>
      <c r="I545" s="37">
        <f>IF(B545="","",DATE(YEAR(B545),MONTH(B545),1))</f>
        <v/>
      </c>
    </row>
    <row r="546">
      <c r="B546" s="35" t="n"/>
      <c r="C546" s="32" t="n"/>
      <c r="D546" s="32" t="n"/>
      <c r="E546" s="32" t="n"/>
      <c r="F546" s="36" t="n"/>
      <c r="G546" s="32" t="n"/>
      <c r="H546" s="32" t="n"/>
      <c r="I546" s="37">
        <f>IF(B546="","",DATE(YEAR(B546),MONTH(B546),1))</f>
        <v/>
      </c>
    </row>
    <row r="547">
      <c r="B547" s="35" t="n"/>
      <c r="C547" s="32" t="n"/>
      <c r="D547" s="32" t="n"/>
      <c r="E547" s="32" t="n"/>
      <c r="F547" s="36" t="n"/>
      <c r="G547" s="32" t="n"/>
      <c r="H547" s="32" t="n"/>
      <c r="I547" s="37">
        <f>IF(B547="","",DATE(YEAR(B547),MONTH(B547),1))</f>
        <v/>
      </c>
    </row>
    <row r="548">
      <c r="B548" s="35" t="n"/>
      <c r="C548" s="32" t="n"/>
      <c r="D548" s="32" t="n"/>
      <c r="E548" s="32" t="n"/>
      <c r="F548" s="36" t="n"/>
      <c r="G548" s="32" t="n"/>
      <c r="H548" s="32" t="n"/>
      <c r="I548" s="37">
        <f>IF(B548="","",DATE(YEAR(B548),MONTH(B548),1))</f>
        <v/>
      </c>
    </row>
    <row r="549">
      <c r="B549" s="35" t="n"/>
      <c r="C549" s="32" t="n"/>
      <c r="D549" s="32" t="n"/>
      <c r="E549" s="32" t="n"/>
      <c r="F549" s="36" t="n"/>
      <c r="G549" s="32" t="n"/>
      <c r="H549" s="32" t="n"/>
      <c r="I549" s="37">
        <f>IF(B549="","",DATE(YEAR(B549),MONTH(B549),1))</f>
        <v/>
      </c>
    </row>
    <row r="550">
      <c r="B550" s="35" t="n"/>
      <c r="C550" s="32" t="n"/>
      <c r="D550" s="32" t="n"/>
      <c r="E550" s="32" t="n"/>
      <c r="F550" s="36" t="n"/>
      <c r="G550" s="32" t="n"/>
      <c r="H550" s="32" t="n"/>
      <c r="I550" s="37">
        <f>IF(B550="","",DATE(YEAR(B550),MONTH(B550),1))</f>
        <v/>
      </c>
    </row>
    <row r="551">
      <c r="B551" s="35" t="n"/>
      <c r="C551" s="32" t="n"/>
      <c r="D551" s="32" t="n"/>
      <c r="E551" s="32" t="n"/>
      <c r="F551" s="36" t="n"/>
      <c r="G551" s="32" t="n"/>
      <c r="H551" s="32" t="n"/>
      <c r="I551" s="37">
        <f>IF(B551="","",DATE(YEAR(B551),MONTH(B551),1))</f>
        <v/>
      </c>
    </row>
    <row r="552">
      <c r="B552" s="35" t="n"/>
      <c r="C552" s="32" t="n"/>
      <c r="D552" s="32" t="n"/>
      <c r="E552" s="32" t="n"/>
      <c r="F552" s="36" t="n"/>
      <c r="G552" s="32" t="n"/>
      <c r="H552" s="32" t="n"/>
      <c r="I552" s="37">
        <f>IF(B552="","",DATE(YEAR(B552),MONTH(B552),1))</f>
        <v/>
      </c>
    </row>
    <row r="553">
      <c r="B553" s="35" t="n"/>
      <c r="C553" s="32" t="n"/>
      <c r="D553" s="32" t="n"/>
      <c r="E553" s="32" t="n"/>
      <c r="F553" s="36" t="n"/>
      <c r="G553" s="32" t="n"/>
      <c r="H553" s="32" t="n"/>
      <c r="I553" s="37">
        <f>IF(B553="","",DATE(YEAR(B553),MONTH(B553),1))</f>
        <v/>
      </c>
    </row>
    <row r="554">
      <c r="B554" s="35" t="n"/>
      <c r="C554" s="32" t="n"/>
      <c r="D554" s="32" t="n"/>
      <c r="E554" s="32" t="n"/>
      <c r="F554" s="36" t="n"/>
      <c r="G554" s="32" t="n"/>
      <c r="H554" s="32" t="n"/>
      <c r="I554" s="37">
        <f>IF(B554="","",DATE(YEAR(B554),MONTH(B554),1))</f>
        <v/>
      </c>
    </row>
    <row r="555">
      <c r="B555" s="35" t="n"/>
      <c r="C555" s="32" t="n"/>
      <c r="D555" s="32" t="n"/>
      <c r="E555" s="32" t="n"/>
      <c r="F555" s="36" t="n"/>
      <c r="G555" s="32" t="n"/>
      <c r="H555" s="32" t="n"/>
      <c r="I555" s="37">
        <f>IF(B555="","",DATE(YEAR(B555),MONTH(B555),1))</f>
        <v/>
      </c>
    </row>
    <row r="556">
      <c r="B556" s="35" t="n"/>
      <c r="C556" s="32" t="n"/>
      <c r="D556" s="32" t="n"/>
      <c r="E556" s="32" t="n"/>
      <c r="F556" s="36" t="n"/>
      <c r="G556" s="32" t="n"/>
      <c r="H556" s="32" t="n"/>
      <c r="I556" s="37">
        <f>IF(B556="","",DATE(YEAR(B556),MONTH(B556),1))</f>
        <v/>
      </c>
    </row>
    <row r="557">
      <c r="B557" s="35" t="n"/>
      <c r="C557" s="32" t="n"/>
      <c r="D557" s="32" t="n"/>
      <c r="E557" s="32" t="n"/>
      <c r="F557" s="36" t="n"/>
      <c r="G557" s="32" t="n"/>
      <c r="H557" s="32" t="n"/>
      <c r="I557" s="37">
        <f>IF(B557="","",DATE(YEAR(B557),MONTH(B557),1))</f>
        <v/>
      </c>
    </row>
    <row r="558">
      <c r="B558" s="35" t="n"/>
      <c r="C558" s="32" t="n"/>
      <c r="D558" s="32" t="n"/>
      <c r="E558" s="32" t="n"/>
      <c r="F558" s="36" t="n"/>
      <c r="G558" s="32" t="n"/>
      <c r="H558" s="32" t="n"/>
      <c r="I558" s="37">
        <f>IF(B558="","",DATE(YEAR(B558),MONTH(B558),1))</f>
        <v/>
      </c>
    </row>
    <row r="559">
      <c r="B559" s="35" t="n"/>
      <c r="C559" s="32" t="n"/>
      <c r="D559" s="32" t="n"/>
      <c r="E559" s="32" t="n"/>
      <c r="F559" s="36" t="n"/>
      <c r="G559" s="32" t="n"/>
      <c r="H559" s="32" t="n"/>
      <c r="I559" s="37">
        <f>IF(B559="","",DATE(YEAR(B559),MONTH(B559),1))</f>
        <v/>
      </c>
    </row>
    <row r="560">
      <c r="B560" s="35" t="n"/>
      <c r="C560" s="32" t="n"/>
      <c r="D560" s="32" t="n"/>
      <c r="E560" s="32" t="n"/>
      <c r="F560" s="36" t="n"/>
      <c r="G560" s="32" t="n"/>
      <c r="H560" s="32" t="n"/>
      <c r="I560" s="37">
        <f>IF(B560="","",DATE(YEAR(B560),MONTH(B560),1))</f>
        <v/>
      </c>
    </row>
    <row r="561">
      <c r="B561" s="35" t="n"/>
      <c r="C561" s="32" t="n"/>
      <c r="D561" s="32" t="n"/>
      <c r="E561" s="32" t="n"/>
      <c r="F561" s="36" t="n"/>
      <c r="G561" s="32" t="n"/>
      <c r="H561" s="32" t="n"/>
      <c r="I561" s="37">
        <f>IF(B561="","",DATE(YEAR(B561),MONTH(B561),1))</f>
        <v/>
      </c>
    </row>
    <row r="562">
      <c r="B562" s="35" t="n"/>
      <c r="C562" s="32" t="n"/>
      <c r="D562" s="32" t="n"/>
      <c r="E562" s="32" t="n"/>
      <c r="F562" s="36" t="n"/>
      <c r="G562" s="32" t="n"/>
      <c r="H562" s="32" t="n"/>
      <c r="I562" s="37">
        <f>IF(B562="","",DATE(YEAR(B562),MONTH(B562),1))</f>
        <v/>
      </c>
    </row>
    <row r="563">
      <c r="B563" s="35" t="n"/>
      <c r="C563" s="32" t="n"/>
      <c r="D563" s="32" t="n"/>
      <c r="E563" s="32" t="n"/>
      <c r="F563" s="36" t="n"/>
      <c r="G563" s="32" t="n"/>
      <c r="H563" s="32" t="n"/>
      <c r="I563" s="37">
        <f>IF(B563="","",DATE(YEAR(B563),MONTH(B563),1))</f>
        <v/>
      </c>
    </row>
    <row r="564">
      <c r="B564" s="35" t="n"/>
      <c r="C564" s="32" t="n"/>
      <c r="D564" s="32" t="n"/>
      <c r="E564" s="32" t="n"/>
      <c r="F564" s="36" t="n"/>
      <c r="G564" s="32" t="n"/>
      <c r="H564" s="32" t="n"/>
      <c r="I564" s="37">
        <f>IF(B564="","",DATE(YEAR(B564),MONTH(B564),1))</f>
        <v/>
      </c>
    </row>
    <row r="565">
      <c r="B565" s="35" t="n"/>
      <c r="C565" s="32" t="n"/>
      <c r="D565" s="32" t="n"/>
      <c r="E565" s="32" t="n"/>
      <c r="F565" s="36" t="n"/>
      <c r="G565" s="32" t="n"/>
      <c r="H565" s="32" t="n"/>
      <c r="I565" s="37">
        <f>IF(B565="","",DATE(YEAR(B565),MONTH(B565),1))</f>
        <v/>
      </c>
    </row>
    <row r="566">
      <c r="B566" s="35" t="n"/>
      <c r="C566" s="32" t="n"/>
      <c r="D566" s="32" t="n"/>
      <c r="E566" s="32" t="n"/>
      <c r="F566" s="36" t="n"/>
      <c r="G566" s="32" t="n"/>
      <c r="H566" s="32" t="n"/>
      <c r="I566" s="37">
        <f>IF(B566="","",DATE(YEAR(B566),MONTH(B566),1))</f>
        <v/>
      </c>
    </row>
    <row r="567">
      <c r="B567" s="35" t="n"/>
      <c r="C567" s="32" t="n"/>
      <c r="D567" s="32" t="n"/>
      <c r="E567" s="32" t="n"/>
      <c r="F567" s="36" t="n"/>
      <c r="G567" s="32" t="n"/>
      <c r="H567" s="32" t="n"/>
      <c r="I567" s="37">
        <f>IF(B567="","",DATE(YEAR(B567),MONTH(B567),1))</f>
        <v/>
      </c>
    </row>
    <row r="568">
      <c r="B568" s="35" t="n"/>
      <c r="C568" s="32" t="n"/>
      <c r="D568" s="32" t="n"/>
      <c r="E568" s="32" t="n"/>
      <c r="F568" s="36" t="n"/>
      <c r="G568" s="32" t="n"/>
      <c r="H568" s="32" t="n"/>
      <c r="I568" s="37">
        <f>IF(B568="","",DATE(YEAR(B568),MONTH(B568),1))</f>
        <v/>
      </c>
    </row>
    <row r="569">
      <c r="B569" s="35" t="n"/>
      <c r="C569" s="32" t="n"/>
      <c r="D569" s="32" t="n"/>
      <c r="E569" s="32" t="n"/>
      <c r="F569" s="36" t="n"/>
      <c r="G569" s="32" t="n"/>
      <c r="H569" s="32" t="n"/>
      <c r="I569" s="37">
        <f>IF(B569="","",DATE(YEAR(B569),MONTH(B569),1))</f>
        <v/>
      </c>
    </row>
    <row r="570">
      <c r="B570" s="35" t="n"/>
      <c r="C570" s="32" t="n"/>
      <c r="D570" s="32" t="n"/>
      <c r="E570" s="32" t="n"/>
      <c r="F570" s="36" t="n"/>
      <c r="G570" s="32" t="n"/>
      <c r="H570" s="32" t="n"/>
      <c r="I570" s="37">
        <f>IF(B570="","",DATE(YEAR(B570),MONTH(B570),1))</f>
        <v/>
      </c>
    </row>
    <row r="571">
      <c r="B571" s="35" t="n"/>
      <c r="C571" s="32" t="n"/>
      <c r="D571" s="32" t="n"/>
      <c r="E571" s="32" t="n"/>
      <c r="F571" s="36" t="n"/>
      <c r="G571" s="32" t="n"/>
      <c r="H571" s="32" t="n"/>
      <c r="I571" s="37">
        <f>IF(B571="","",DATE(YEAR(B571),MONTH(B571),1))</f>
        <v/>
      </c>
    </row>
    <row r="572">
      <c r="B572" s="35" t="n"/>
      <c r="C572" s="32" t="n"/>
      <c r="D572" s="32" t="n"/>
      <c r="E572" s="32" t="n"/>
      <c r="F572" s="36" t="n"/>
      <c r="G572" s="32" t="n"/>
      <c r="H572" s="32" t="n"/>
      <c r="I572" s="37">
        <f>IF(B572="","",DATE(YEAR(B572),MONTH(B572),1))</f>
        <v/>
      </c>
    </row>
    <row r="573">
      <c r="B573" s="35" t="n"/>
      <c r="C573" s="32" t="n"/>
      <c r="D573" s="32" t="n"/>
      <c r="E573" s="32" t="n"/>
      <c r="F573" s="36" t="n"/>
      <c r="G573" s="32" t="n"/>
      <c r="H573" s="32" t="n"/>
      <c r="I573" s="37">
        <f>IF(B573="","",DATE(YEAR(B573),MONTH(B573),1))</f>
        <v/>
      </c>
    </row>
    <row r="574">
      <c r="B574" s="35" t="n"/>
      <c r="C574" s="32" t="n"/>
      <c r="D574" s="32" t="n"/>
      <c r="E574" s="32" t="n"/>
      <c r="F574" s="36" t="n"/>
      <c r="G574" s="32" t="n"/>
      <c r="H574" s="32" t="n"/>
      <c r="I574" s="37">
        <f>IF(B574="","",DATE(YEAR(B574),MONTH(B574),1))</f>
        <v/>
      </c>
    </row>
    <row r="575">
      <c r="B575" s="35" t="n"/>
      <c r="C575" s="32" t="n"/>
      <c r="D575" s="32" t="n"/>
      <c r="E575" s="32" t="n"/>
      <c r="F575" s="36" t="n"/>
      <c r="G575" s="32" t="n"/>
      <c r="H575" s="32" t="n"/>
      <c r="I575" s="37">
        <f>IF(B575="","",DATE(YEAR(B575),MONTH(B575),1))</f>
        <v/>
      </c>
    </row>
    <row r="576">
      <c r="B576" s="35" t="n"/>
      <c r="C576" s="32" t="n"/>
      <c r="D576" s="32" t="n"/>
      <c r="E576" s="32" t="n"/>
      <c r="F576" s="36" t="n"/>
      <c r="G576" s="32" t="n"/>
      <c r="H576" s="32" t="n"/>
      <c r="I576" s="37">
        <f>IF(B576="","",DATE(YEAR(B576),MONTH(B576),1))</f>
        <v/>
      </c>
    </row>
    <row r="577">
      <c r="B577" s="35" t="n"/>
      <c r="C577" s="32" t="n"/>
      <c r="D577" s="32" t="n"/>
      <c r="E577" s="32" t="n"/>
      <c r="F577" s="36" t="n"/>
      <c r="G577" s="32" t="n"/>
      <c r="H577" s="32" t="n"/>
      <c r="I577" s="37">
        <f>IF(B577="","",DATE(YEAR(B577),MONTH(B577),1))</f>
        <v/>
      </c>
    </row>
    <row r="578">
      <c r="B578" s="35" t="n"/>
      <c r="C578" s="32" t="n"/>
      <c r="D578" s="32" t="n"/>
      <c r="E578" s="32" t="n"/>
      <c r="F578" s="36" t="n"/>
      <c r="G578" s="32" t="n"/>
      <c r="H578" s="32" t="n"/>
      <c r="I578" s="37">
        <f>IF(B578="","",DATE(YEAR(B578),MONTH(B578),1))</f>
        <v/>
      </c>
    </row>
    <row r="579">
      <c r="B579" s="35" t="n"/>
      <c r="C579" s="32" t="n"/>
      <c r="D579" s="32" t="n"/>
      <c r="E579" s="32" t="n"/>
      <c r="F579" s="36" t="n"/>
      <c r="G579" s="32" t="n"/>
      <c r="H579" s="32" t="n"/>
      <c r="I579" s="37">
        <f>IF(B579="","",DATE(YEAR(B579),MONTH(B579),1))</f>
        <v/>
      </c>
    </row>
    <row r="580">
      <c r="B580" s="35" t="n"/>
      <c r="C580" s="32" t="n"/>
      <c r="D580" s="32" t="n"/>
      <c r="E580" s="32" t="n"/>
      <c r="F580" s="36" t="n"/>
      <c r="G580" s="32" t="n"/>
      <c r="H580" s="32" t="n"/>
      <c r="I580" s="37">
        <f>IF(B580="","",DATE(YEAR(B580),MONTH(B580),1))</f>
        <v/>
      </c>
    </row>
    <row r="581">
      <c r="B581" s="35" t="n"/>
      <c r="C581" s="32" t="n"/>
      <c r="D581" s="32" t="n"/>
      <c r="E581" s="32" t="n"/>
      <c r="F581" s="36" t="n"/>
      <c r="G581" s="32" t="n"/>
      <c r="H581" s="32" t="n"/>
      <c r="I581" s="37">
        <f>IF(B581="","",DATE(YEAR(B581),MONTH(B581),1))</f>
        <v/>
      </c>
    </row>
    <row r="582">
      <c r="B582" s="35" t="n"/>
      <c r="C582" s="32" t="n"/>
      <c r="D582" s="32" t="n"/>
      <c r="E582" s="32" t="n"/>
      <c r="F582" s="36" t="n"/>
      <c r="G582" s="32" t="n"/>
      <c r="H582" s="32" t="n"/>
      <c r="I582" s="37">
        <f>IF(B582="","",DATE(YEAR(B582),MONTH(B582),1))</f>
        <v/>
      </c>
    </row>
    <row r="583">
      <c r="B583" s="35" t="n"/>
      <c r="C583" s="32" t="n"/>
      <c r="D583" s="32" t="n"/>
      <c r="E583" s="32" t="n"/>
      <c r="F583" s="36" t="n"/>
      <c r="G583" s="32" t="n"/>
      <c r="H583" s="32" t="n"/>
      <c r="I583" s="37">
        <f>IF(B583="","",DATE(YEAR(B583),MONTH(B583),1))</f>
        <v/>
      </c>
    </row>
    <row r="584">
      <c r="B584" s="35" t="n"/>
      <c r="C584" s="32" t="n"/>
      <c r="D584" s="32" t="n"/>
      <c r="E584" s="32" t="n"/>
      <c r="F584" s="36" t="n"/>
      <c r="G584" s="32" t="n"/>
      <c r="H584" s="32" t="n"/>
      <c r="I584" s="37">
        <f>IF(B584="","",DATE(YEAR(B584),MONTH(B584),1))</f>
        <v/>
      </c>
    </row>
    <row r="585">
      <c r="B585" s="35" t="n"/>
      <c r="C585" s="32" t="n"/>
      <c r="D585" s="32" t="n"/>
      <c r="E585" s="32" t="n"/>
      <c r="F585" s="36" t="n"/>
      <c r="G585" s="32" t="n"/>
      <c r="H585" s="32" t="n"/>
      <c r="I585" s="37">
        <f>IF(B585="","",DATE(YEAR(B585),MONTH(B585),1))</f>
        <v/>
      </c>
    </row>
    <row r="586">
      <c r="B586" s="35" t="n"/>
      <c r="C586" s="32" t="n"/>
      <c r="D586" s="32" t="n"/>
      <c r="E586" s="32" t="n"/>
      <c r="F586" s="36" t="n"/>
      <c r="G586" s="32" t="n"/>
      <c r="H586" s="32" t="n"/>
      <c r="I586" s="37">
        <f>IF(B586="","",DATE(YEAR(B586),MONTH(B586),1))</f>
        <v/>
      </c>
    </row>
    <row r="587">
      <c r="B587" s="35" t="n"/>
      <c r="C587" s="32" t="n"/>
      <c r="D587" s="32" t="n"/>
      <c r="E587" s="32" t="n"/>
      <c r="F587" s="36" t="n"/>
      <c r="G587" s="32" t="n"/>
      <c r="H587" s="32" t="n"/>
      <c r="I587" s="37">
        <f>IF(B587="","",DATE(YEAR(B587),MONTH(B587),1))</f>
        <v/>
      </c>
    </row>
    <row r="588">
      <c r="B588" s="35" t="n"/>
      <c r="C588" s="32" t="n"/>
      <c r="D588" s="32" t="n"/>
      <c r="E588" s="32" t="n"/>
      <c r="F588" s="36" t="n"/>
      <c r="G588" s="32" t="n"/>
      <c r="H588" s="32" t="n"/>
      <c r="I588" s="37">
        <f>IF(B588="","",DATE(YEAR(B588),MONTH(B588),1))</f>
        <v/>
      </c>
    </row>
    <row r="589">
      <c r="B589" s="35" t="n"/>
      <c r="C589" s="32" t="n"/>
      <c r="D589" s="32" t="n"/>
      <c r="E589" s="32" t="n"/>
      <c r="F589" s="36" t="n"/>
      <c r="G589" s="32" t="n"/>
      <c r="H589" s="32" t="n"/>
      <c r="I589" s="37">
        <f>IF(B589="","",DATE(YEAR(B589),MONTH(B589),1))</f>
        <v/>
      </c>
    </row>
    <row r="590">
      <c r="B590" s="35" t="n"/>
      <c r="C590" s="32" t="n"/>
      <c r="D590" s="32" t="n"/>
      <c r="E590" s="32" t="n"/>
      <c r="F590" s="36" t="n"/>
      <c r="G590" s="32" t="n"/>
      <c r="H590" s="32" t="n"/>
      <c r="I590" s="37">
        <f>IF(B590="","",DATE(YEAR(B590),MONTH(B590),1))</f>
        <v/>
      </c>
    </row>
    <row r="591">
      <c r="B591" s="35" t="n"/>
      <c r="C591" s="32" t="n"/>
      <c r="D591" s="32" t="n"/>
      <c r="E591" s="32" t="n"/>
      <c r="F591" s="36" t="n"/>
      <c r="G591" s="32" t="n"/>
      <c r="H591" s="32" t="n"/>
      <c r="I591" s="37">
        <f>IF(B591="","",DATE(YEAR(B591),MONTH(B591),1))</f>
        <v/>
      </c>
    </row>
    <row r="592">
      <c r="B592" s="35" t="n"/>
      <c r="C592" s="32" t="n"/>
      <c r="D592" s="32" t="n"/>
      <c r="E592" s="32" t="n"/>
      <c r="F592" s="36" t="n"/>
      <c r="G592" s="32" t="n"/>
      <c r="H592" s="32" t="n"/>
      <c r="I592" s="37">
        <f>IF(B592="","",DATE(YEAR(B592),MONTH(B592),1))</f>
        <v/>
      </c>
    </row>
    <row r="593">
      <c r="B593" s="35" t="n"/>
      <c r="C593" s="32" t="n"/>
      <c r="D593" s="32" t="n"/>
      <c r="E593" s="32" t="n"/>
      <c r="F593" s="36" t="n"/>
      <c r="G593" s="32" t="n"/>
      <c r="H593" s="32" t="n"/>
      <c r="I593" s="37">
        <f>IF(B593="","",DATE(YEAR(B593),MONTH(B593),1))</f>
        <v/>
      </c>
    </row>
    <row r="594">
      <c r="B594" s="35" t="n"/>
      <c r="C594" s="32" t="n"/>
      <c r="D594" s="32" t="n"/>
      <c r="E594" s="32" t="n"/>
      <c r="F594" s="36" t="n"/>
      <c r="G594" s="32" t="n"/>
      <c r="H594" s="32" t="n"/>
      <c r="I594" s="37">
        <f>IF(B594="","",DATE(YEAR(B594),MONTH(B594),1))</f>
        <v/>
      </c>
    </row>
    <row r="595">
      <c r="B595" s="35" t="n"/>
      <c r="C595" s="32" t="n"/>
      <c r="D595" s="32" t="n"/>
      <c r="E595" s="32" t="n"/>
      <c r="F595" s="36" t="n"/>
      <c r="G595" s="32" t="n"/>
      <c r="H595" s="32" t="n"/>
      <c r="I595" s="37">
        <f>IF(B595="","",DATE(YEAR(B595),MONTH(B595),1))</f>
        <v/>
      </c>
    </row>
    <row r="596">
      <c r="B596" s="35" t="n"/>
      <c r="C596" s="32" t="n"/>
      <c r="D596" s="32" t="n"/>
      <c r="E596" s="32" t="n"/>
      <c r="F596" s="36" t="n"/>
      <c r="G596" s="32" t="n"/>
      <c r="H596" s="32" t="n"/>
      <c r="I596" s="37">
        <f>IF(B596="","",DATE(YEAR(B596),MONTH(B596),1))</f>
        <v/>
      </c>
    </row>
    <row r="597">
      <c r="B597" s="35" t="n"/>
      <c r="C597" s="32" t="n"/>
      <c r="D597" s="32" t="n"/>
      <c r="E597" s="32" t="n"/>
      <c r="F597" s="36" t="n"/>
      <c r="G597" s="32" t="n"/>
      <c r="H597" s="32" t="n"/>
      <c r="I597" s="37">
        <f>IF(B597="","",DATE(YEAR(B597),MONTH(B597),1))</f>
        <v/>
      </c>
    </row>
    <row r="598">
      <c r="B598" s="35" t="n"/>
      <c r="C598" s="32" t="n"/>
      <c r="D598" s="32" t="n"/>
      <c r="E598" s="32" t="n"/>
      <c r="F598" s="36" t="n"/>
      <c r="G598" s="32" t="n"/>
      <c r="H598" s="32" t="n"/>
      <c r="I598" s="37">
        <f>IF(B598="","",DATE(YEAR(B598),MONTH(B598),1))</f>
        <v/>
      </c>
    </row>
    <row r="599">
      <c r="B599" s="35" t="n"/>
      <c r="C599" s="32" t="n"/>
      <c r="D599" s="32" t="n"/>
      <c r="E599" s="32" t="n"/>
      <c r="F599" s="36" t="n"/>
      <c r="G599" s="32" t="n"/>
      <c r="H599" s="32" t="n"/>
      <c r="I599" s="37">
        <f>IF(B599="","",DATE(YEAR(B599),MONTH(B599),1))</f>
        <v/>
      </c>
    </row>
    <row r="600">
      <c r="B600" s="35" t="n"/>
      <c r="C600" s="32" t="n"/>
      <c r="D600" s="32" t="n"/>
      <c r="E600" s="32" t="n"/>
      <c r="F600" s="36" t="n"/>
      <c r="G600" s="32" t="n"/>
      <c r="H600" s="32" t="n"/>
      <c r="I600" s="37">
        <f>IF(B600="","",DATE(YEAR(B600),MONTH(B600),1))</f>
        <v/>
      </c>
    </row>
    <row r="601">
      <c r="B601" s="35" t="n"/>
      <c r="C601" s="32" t="n"/>
      <c r="D601" s="32" t="n"/>
      <c r="E601" s="32" t="n"/>
      <c r="F601" s="36" t="n"/>
      <c r="G601" s="32" t="n"/>
      <c r="H601" s="32" t="n"/>
      <c r="I601" s="37">
        <f>IF(B601="","",DATE(YEAR(B601),MONTH(B601),1))</f>
        <v/>
      </c>
    </row>
    <row r="602">
      <c r="B602" s="35" t="n"/>
      <c r="C602" s="32" t="n"/>
      <c r="D602" s="32" t="n"/>
      <c r="E602" s="32" t="n"/>
      <c r="F602" s="36" t="n"/>
      <c r="G602" s="32" t="n"/>
      <c r="H602" s="32" t="n"/>
      <c r="I602" s="37">
        <f>IF(B602="","",DATE(YEAR(B602),MONTH(B602),1))</f>
        <v/>
      </c>
    </row>
    <row r="603">
      <c r="B603" s="35" t="n"/>
      <c r="C603" s="32" t="n"/>
      <c r="D603" s="32" t="n"/>
      <c r="E603" s="32" t="n"/>
      <c r="F603" s="36" t="n"/>
      <c r="G603" s="32" t="n"/>
      <c r="H603" s="32" t="n"/>
      <c r="I603" s="37">
        <f>IF(B603="","",DATE(YEAR(B603),MONTH(B603),1))</f>
        <v/>
      </c>
    </row>
    <row r="604">
      <c r="B604" s="35" t="n"/>
      <c r="C604" s="32" t="n"/>
      <c r="D604" s="32" t="n"/>
      <c r="E604" s="32" t="n"/>
      <c r="F604" s="36" t="n"/>
      <c r="G604" s="32" t="n"/>
      <c r="H604" s="32" t="n"/>
      <c r="I604" s="37">
        <f>IF(B604="","",DATE(YEAR(B604),MONTH(B604),1))</f>
        <v/>
      </c>
    </row>
    <row r="605">
      <c r="B605" s="35" t="n"/>
      <c r="C605" s="32" t="n"/>
      <c r="D605" s="32" t="n"/>
      <c r="E605" s="32" t="n"/>
      <c r="F605" s="36" t="n"/>
      <c r="G605" s="32" t="n"/>
      <c r="H605" s="32" t="n"/>
      <c r="I605" s="37">
        <f>IF(B605="","",DATE(YEAR(B605),MONTH(B605),1))</f>
        <v/>
      </c>
    </row>
    <row r="606">
      <c r="B606" s="35" t="n"/>
      <c r="C606" s="32" t="n"/>
      <c r="D606" s="32" t="n"/>
      <c r="E606" s="32" t="n"/>
      <c r="F606" s="36" t="n"/>
      <c r="G606" s="32" t="n"/>
      <c r="H606" s="32" t="n"/>
      <c r="I606" s="37">
        <f>IF(B606="","",DATE(YEAR(B606),MONTH(B606),1))</f>
        <v/>
      </c>
    </row>
    <row r="607">
      <c r="B607" s="35" t="n"/>
      <c r="C607" s="32" t="n"/>
      <c r="D607" s="32" t="n"/>
      <c r="E607" s="32" t="n"/>
      <c r="F607" s="36" t="n"/>
      <c r="G607" s="32" t="n"/>
      <c r="H607" s="32" t="n"/>
      <c r="I607" s="37">
        <f>IF(B607="","",DATE(YEAR(B607),MONTH(B607),1))</f>
        <v/>
      </c>
    </row>
    <row r="608">
      <c r="B608" s="35" t="n"/>
      <c r="C608" s="32" t="n"/>
      <c r="D608" s="32" t="n"/>
      <c r="E608" s="32" t="n"/>
      <c r="F608" s="36" t="n"/>
      <c r="G608" s="32" t="n"/>
      <c r="H608" s="32" t="n"/>
      <c r="I608" s="37">
        <f>IF(B608="","",DATE(YEAR(B608),MONTH(B608),1))</f>
        <v/>
      </c>
    </row>
    <row r="609">
      <c r="B609" s="35" t="n"/>
      <c r="C609" s="32" t="n"/>
      <c r="D609" s="32" t="n"/>
      <c r="E609" s="32" t="n"/>
      <c r="F609" s="36" t="n"/>
      <c r="G609" s="32" t="n"/>
      <c r="H609" s="32" t="n"/>
      <c r="I609" s="37">
        <f>IF(B609="","",DATE(YEAR(B609),MONTH(B609),1))</f>
        <v/>
      </c>
    </row>
    <row r="610">
      <c r="B610" s="35" t="n"/>
      <c r="C610" s="32" t="n"/>
      <c r="D610" s="32" t="n"/>
      <c r="E610" s="32" t="n"/>
      <c r="F610" s="36" t="n"/>
      <c r="G610" s="32" t="n"/>
      <c r="H610" s="32" t="n"/>
      <c r="I610" s="37">
        <f>IF(B610="","",DATE(YEAR(B610),MONTH(B610),1))</f>
        <v/>
      </c>
    </row>
    <row r="611">
      <c r="B611" s="35" t="n"/>
      <c r="C611" s="32" t="n"/>
      <c r="D611" s="32" t="n"/>
      <c r="E611" s="32" t="n"/>
      <c r="F611" s="36" t="n"/>
      <c r="G611" s="32" t="n"/>
      <c r="H611" s="32" t="n"/>
      <c r="I611" s="37">
        <f>IF(B611="","",DATE(YEAR(B611),MONTH(B611),1))</f>
        <v/>
      </c>
    </row>
    <row r="612">
      <c r="B612" s="35" t="n"/>
      <c r="C612" s="32" t="n"/>
      <c r="D612" s="32" t="n"/>
      <c r="E612" s="32" t="n"/>
      <c r="F612" s="36" t="n"/>
      <c r="G612" s="32" t="n"/>
      <c r="H612" s="32" t="n"/>
      <c r="I612" s="37">
        <f>IF(B612="","",DATE(YEAR(B612),MONTH(B612),1))</f>
        <v/>
      </c>
    </row>
    <row r="613">
      <c r="B613" s="35" t="n"/>
      <c r="C613" s="32" t="n"/>
      <c r="D613" s="32" t="n"/>
      <c r="E613" s="32" t="n"/>
      <c r="F613" s="36" t="n"/>
      <c r="G613" s="32" t="n"/>
      <c r="H613" s="32" t="n"/>
      <c r="I613" s="37">
        <f>IF(B613="","",DATE(YEAR(B613),MONTH(B613),1))</f>
        <v/>
      </c>
    </row>
    <row r="614">
      <c r="B614" s="35" t="n"/>
      <c r="C614" s="32" t="n"/>
      <c r="D614" s="32" t="n"/>
      <c r="E614" s="32" t="n"/>
      <c r="F614" s="36" t="n"/>
      <c r="G614" s="32" t="n"/>
      <c r="H614" s="32" t="n"/>
      <c r="I614" s="37">
        <f>IF(B614="","",DATE(YEAR(B614),MONTH(B614),1))</f>
        <v/>
      </c>
    </row>
    <row r="615">
      <c r="B615" s="35" t="n"/>
      <c r="C615" s="32" t="n"/>
      <c r="D615" s="32" t="n"/>
      <c r="E615" s="32" t="n"/>
      <c r="F615" s="36" t="n"/>
      <c r="G615" s="32" t="n"/>
      <c r="H615" s="32" t="n"/>
      <c r="I615" s="37">
        <f>IF(B615="","",DATE(YEAR(B615),MONTH(B615),1))</f>
        <v/>
      </c>
    </row>
    <row r="616">
      <c r="B616" s="35" t="n"/>
      <c r="C616" s="32" t="n"/>
      <c r="D616" s="32" t="n"/>
      <c r="E616" s="32" t="n"/>
      <c r="F616" s="36" t="n"/>
      <c r="G616" s="32" t="n"/>
      <c r="H616" s="32" t="n"/>
      <c r="I616" s="37">
        <f>IF(B616="","",DATE(YEAR(B616),MONTH(B616),1))</f>
        <v/>
      </c>
    </row>
    <row r="617">
      <c r="B617" s="35" t="n"/>
      <c r="C617" s="32" t="n"/>
      <c r="D617" s="32" t="n"/>
      <c r="E617" s="32" t="n"/>
      <c r="F617" s="36" t="n"/>
      <c r="G617" s="32" t="n"/>
      <c r="H617" s="32" t="n"/>
      <c r="I617" s="37">
        <f>IF(B617="","",DATE(YEAR(B617),MONTH(B617),1))</f>
        <v/>
      </c>
    </row>
    <row r="618">
      <c r="B618" s="35" t="n"/>
      <c r="C618" s="32" t="n"/>
      <c r="D618" s="32" t="n"/>
      <c r="E618" s="32" t="n"/>
      <c r="F618" s="36" t="n"/>
      <c r="G618" s="32" t="n"/>
      <c r="H618" s="32" t="n"/>
      <c r="I618" s="37">
        <f>IF(B618="","",DATE(YEAR(B618),MONTH(B618),1))</f>
        <v/>
      </c>
    </row>
    <row r="619">
      <c r="B619" s="35" t="n"/>
      <c r="C619" s="32" t="n"/>
      <c r="D619" s="32" t="n"/>
      <c r="E619" s="32" t="n"/>
      <c r="F619" s="36" t="n"/>
      <c r="G619" s="32" t="n"/>
      <c r="H619" s="32" t="n"/>
      <c r="I619" s="37">
        <f>IF(B619="","",DATE(YEAR(B619),MONTH(B619),1))</f>
        <v/>
      </c>
    </row>
    <row r="620">
      <c r="B620" s="35" t="n"/>
      <c r="C620" s="32" t="n"/>
      <c r="D620" s="32" t="n"/>
      <c r="E620" s="32" t="n"/>
      <c r="F620" s="36" t="n"/>
      <c r="G620" s="32" t="n"/>
      <c r="H620" s="32" t="n"/>
      <c r="I620" s="37">
        <f>IF(B620="","",DATE(YEAR(B620),MONTH(B620),1))</f>
        <v/>
      </c>
    </row>
    <row r="621">
      <c r="B621" s="35" t="n"/>
      <c r="C621" s="32" t="n"/>
      <c r="D621" s="32" t="n"/>
      <c r="E621" s="32" t="n"/>
      <c r="F621" s="36" t="n"/>
      <c r="G621" s="32" t="n"/>
      <c r="H621" s="32" t="n"/>
      <c r="I621" s="37">
        <f>IF(B621="","",DATE(YEAR(B621),MONTH(B621),1))</f>
        <v/>
      </c>
    </row>
    <row r="622">
      <c r="B622" s="35" t="n"/>
      <c r="C622" s="32" t="n"/>
      <c r="D622" s="32" t="n"/>
      <c r="E622" s="32" t="n"/>
      <c r="F622" s="36" t="n"/>
      <c r="G622" s="32" t="n"/>
      <c r="H622" s="32" t="n"/>
      <c r="I622" s="37">
        <f>IF(B622="","",DATE(YEAR(B622),MONTH(B622),1))</f>
        <v/>
      </c>
    </row>
    <row r="623">
      <c r="B623" s="35" t="n"/>
      <c r="C623" s="32" t="n"/>
      <c r="D623" s="32" t="n"/>
      <c r="E623" s="32" t="n"/>
      <c r="F623" s="36" t="n"/>
      <c r="G623" s="32" t="n"/>
      <c r="H623" s="32" t="n"/>
      <c r="I623" s="37">
        <f>IF(B623="","",DATE(YEAR(B623),MONTH(B623),1))</f>
        <v/>
      </c>
    </row>
    <row r="624">
      <c r="B624" s="35" t="n"/>
      <c r="C624" s="32" t="n"/>
      <c r="D624" s="32" t="n"/>
      <c r="E624" s="32" t="n"/>
      <c r="F624" s="36" t="n"/>
      <c r="G624" s="32" t="n"/>
      <c r="H624" s="32" t="n"/>
      <c r="I624" s="37">
        <f>IF(B624="","",DATE(YEAR(B624),MONTH(B624),1))</f>
        <v/>
      </c>
    </row>
    <row r="625">
      <c r="B625" s="35" t="n"/>
      <c r="C625" s="32" t="n"/>
      <c r="D625" s="32" t="n"/>
      <c r="E625" s="32" t="n"/>
      <c r="F625" s="36" t="n"/>
      <c r="G625" s="32" t="n"/>
      <c r="H625" s="32" t="n"/>
      <c r="I625" s="37">
        <f>IF(B625="","",DATE(YEAR(B625),MONTH(B625),1))</f>
        <v/>
      </c>
    </row>
    <row r="626">
      <c r="B626" s="35" t="n"/>
      <c r="C626" s="32" t="n"/>
      <c r="D626" s="32" t="n"/>
      <c r="E626" s="32" t="n"/>
      <c r="F626" s="36" t="n"/>
      <c r="G626" s="32" t="n"/>
      <c r="H626" s="32" t="n"/>
      <c r="I626" s="37">
        <f>IF(B626="","",DATE(YEAR(B626),MONTH(B626),1))</f>
        <v/>
      </c>
    </row>
    <row r="627">
      <c r="B627" s="35" t="n"/>
      <c r="C627" s="32" t="n"/>
      <c r="D627" s="32" t="n"/>
      <c r="E627" s="32" t="n"/>
      <c r="F627" s="36" t="n"/>
      <c r="G627" s="32" t="n"/>
      <c r="H627" s="32" t="n"/>
      <c r="I627" s="37">
        <f>IF(B627="","",DATE(YEAR(B627),MONTH(B627),1))</f>
        <v/>
      </c>
    </row>
    <row r="628">
      <c r="B628" s="35" t="n"/>
      <c r="C628" s="32" t="n"/>
      <c r="D628" s="32" t="n"/>
      <c r="E628" s="32" t="n"/>
      <c r="F628" s="36" t="n"/>
      <c r="G628" s="32" t="n"/>
      <c r="H628" s="32" t="n"/>
      <c r="I628" s="37">
        <f>IF(B628="","",DATE(YEAR(B628),MONTH(B628),1))</f>
        <v/>
      </c>
    </row>
    <row r="629">
      <c r="B629" s="35" t="n"/>
      <c r="C629" s="32" t="n"/>
      <c r="D629" s="32" t="n"/>
      <c r="E629" s="32" t="n"/>
      <c r="F629" s="36" t="n"/>
      <c r="G629" s="32" t="n"/>
      <c r="H629" s="32" t="n"/>
      <c r="I629" s="37">
        <f>IF(B629="","",DATE(YEAR(B629),MONTH(B629),1))</f>
        <v/>
      </c>
    </row>
    <row r="630">
      <c r="B630" s="35" t="n"/>
      <c r="C630" s="32" t="n"/>
      <c r="D630" s="32" t="n"/>
      <c r="E630" s="32" t="n"/>
      <c r="F630" s="36" t="n"/>
      <c r="G630" s="32" t="n"/>
      <c r="H630" s="32" t="n"/>
      <c r="I630" s="37">
        <f>IF(B630="","",DATE(YEAR(B630),MONTH(B630),1))</f>
        <v/>
      </c>
    </row>
    <row r="631">
      <c r="B631" s="35" t="n"/>
      <c r="C631" s="32" t="n"/>
      <c r="D631" s="32" t="n"/>
      <c r="E631" s="32" t="n"/>
      <c r="F631" s="36" t="n"/>
      <c r="G631" s="32" t="n"/>
      <c r="H631" s="32" t="n"/>
      <c r="I631" s="37">
        <f>IF(B631="","",DATE(YEAR(B631),MONTH(B631),1))</f>
        <v/>
      </c>
    </row>
    <row r="632">
      <c r="B632" s="35" t="n"/>
      <c r="C632" s="32" t="n"/>
      <c r="D632" s="32" t="n"/>
      <c r="E632" s="32" t="n"/>
      <c r="F632" s="36" t="n"/>
      <c r="G632" s="32" t="n"/>
      <c r="H632" s="32" t="n"/>
      <c r="I632" s="37">
        <f>IF(B632="","",DATE(YEAR(B632),MONTH(B632),1))</f>
        <v/>
      </c>
    </row>
    <row r="633">
      <c r="B633" s="35" t="n"/>
      <c r="C633" s="32" t="n"/>
      <c r="D633" s="32" t="n"/>
      <c r="E633" s="32" t="n"/>
      <c r="F633" s="36" t="n"/>
      <c r="G633" s="32" t="n"/>
      <c r="H633" s="32" t="n"/>
      <c r="I633" s="37">
        <f>IF(B633="","",DATE(YEAR(B633),MONTH(B633),1))</f>
        <v/>
      </c>
    </row>
    <row r="634">
      <c r="B634" s="35" t="n"/>
      <c r="C634" s="32" t="n"/>
      <c r="D634" s="32" t="n"/>
      <c r="E634" s="32" t="n"/>
      <c r="F634" s="36" t="n"/>
      <c r="G634" s="32" t="n"/>
      <c r="H634" s="32" t="n"/>
      <c r="I634" s="37">
        <f>IF(B634="","",DATE(YEAR(B634),MONTH(B634),1))</f>
        <v/>
      </c>
    </row>
    <row r="635">
      <c r="B635" s="35" t="n"/>
      <c r="C635" s="32" t="n"/>
      <c r="D635" s="32" t="n"/>
      <c r="E635" s="32" t="n"/>
      <c r="F635" s="36" t="n"/>
      <c r="G635" s="32" t="n"/>
      <c r="H635" s="32" t="n"/>
      <c r="I635" s="37">
        <f>IF(B635="","",DATE(YEAR(B635),MONTH(B635),1))</f>
        <v/>
      </c>
    </row>
    <row r="636">
      <c r="B636" s="35" t="n"/>
      <c r="C636" s="32" t="n"/>
      <c r="D636" s="32" t="n"/>
      <c r="E636" s="32" t="n"/>
      <c r="F636" s="36" t="n"/>
      <c r="G636" s="32" t="n"/>
      <c r="H636" s="32" t="n"/>
      <c r="I636" s="37">
        <f>IF(B636="","",DATE(YEAR(B636),MONTH(B636),1))</f>
        <v/>
      </c>
    </row>
    <row r="637">
      <c r="B637" s="35" t="n"/>
      <c r="C637" s="32" t="n"/>
      <c r="D637" s="32" t="n"/>
      <c r="E637" s="32" t="n"/>
      <c r="F637" s="36" t="n"/>
      <c r="G637" s="32" t="n"/>
      <c r="H637" s="32" t="n"/>
      <c r="I637" s="37">
        <f>IF(B637="","",DATE(YEAR(B637),MONTH(B637),1))</f>
        <v/>
      </c>
    </row>
    <row r="638">
      <c r="B638" s="35" t="n"/>
      <c r="C638" s="32" t="n"/>
      <c r="D638" s="32" t="n"/>
      <c r="E638" s="32" t="n"/>
      <c r="F638" s="36" t="n"/>
      <c r="G638" s="32" t="n"/>
      <c r="H638" s="32" t="n"/>
      <c r="I638" s="37">
        <f>IF(B638="","",DATE(YEAR(B638),MONTH(B638),1))</f>
        <v/>
      </c>
    </row>
    <row r="639">
      <c r="B639" s="35" t="n"/>
      <c r="C639" s="32" t="n"/>
      <c r="D639" s="32" t="n"/>
      <c r="E639" s="32" t="n"/>
      <c r="F639" s="36" t="n"/>
      <c r="G639" s="32" t="n"/>
      <c r="H639" s="32" t="n"/>
      <c r="I639" s="37">
        <f>IF(B639="","",DATE(YEAR(B639),MONTH(B639),1))</f>
        <v/>
      </c>
    </row>
    <row r="640">
      <c r="B640" s="35" t="n"/>
      <c r="C640" s="32" t="n"/>
      <c r="D640" s="32" t="n"/>
      <c r="E640" s="32" t="n"/>
      <c r="F640" s="36" t="n"/>
      <c r="G640" s="32" t="n"/>
      <c r="H640" s="32" t="n"/>
      <c r="I640" s="37">
        <f>IF(B640="","",DATE(YEAR(B640),MONTH(B640),1))</f>
        <v/>
      </c>
    </row>
    <row r="641">
      <c r="B641" s="35" t="n"/>
      <c r="C641" s="32" t="n"/>
      <c r="D641" s="32" t="n"/>
      <c r="E641" s="32" t="n"/>
      <c r="F641" s="36" t="n"/>
      <c r="G641" s="32" t="n"/>
      <c r="H641" s="32" t="n"/>
      <c r="I641" s="37">
        <f>IF(B641="","",DATE(YEAR(B641),MONTH(B641),1))</f>
        <v/>
      </c>
    </row>
    <row r="642">
      <c r="B642" s="35" t="n"/>
      <c r="C642" s="32" t="n"/>
      <c r="D642" s="32" t="n"/>
      <c r="E642" s="32" t="n"/>
      <c r="F642" s="36" t="n"/>
      <c r="G642" s="32" t="n"/>
      <c r="H642" s="32" t="n"/>
      <c r="I642" s="37">
        <f>IF(B642="","",DATE(YEAR(B642),MONTH(B642),1))</f>
        <v/>
      </c>
    </row>
    <row r="643">
      <c r="B643" s="35" t="n"/>
      <c r="C643" s="32" t="n"/>
      <c r="D643" s="32" t="n"/>
      <c r="E643" s="32" t="n"/>
      <c r="F643" s="36" t="n"/>
      <c r="G643" s="32" t="n"/>
      <c r="H643" s="32" t="n"/>
      <c r="I643" s="37">
        <f>IF(B643="","",DATE(YEAR(B643),MONTH(B643),1))</f>
        <v/>
      </c>
    </row>
    <row r="644">
      <c r="B644" s="35" t="n"/>
      <c r="C644" s="32" t="n"/>
      <c r="D644" s="32" t="n"/>
      <c r="E644" s="32" t="n"/>
      <c r="F644" s="36" t="n"/>
      <c r="G644" s="32" t="n"/>
      <c r="H644" s="32" t="n"/>
      <c r="I644" s="37">
        <f>IF(B644="","",DATE(YEAR(B644),MONTH(B644),1))</f>
        <v/>
      </c>
    </row>
    <row r="645">
      <c r="B645" s="35" t="n"/>
      <c r="C645" s="32" t="n"/>
      <c r="D645" s="32" t="n"/>
      <c r="E645" s="32" t="n"/>
      <c r="F645" s="36" t="n"/>
      <c r="G645" s="32" t="n"/>
      <c r="H645" s="32" t="n"/>
      <c r="I645" s="37">
        <f>IF(B645="","",DATE(YEAR(B645),MONTH(B645),1))</f>
        <v/>
      </c>
    </row>
    <row r="646">
      <c r="B646" s="35" t="n"/>
      <c r="C646" s="32" t="n"/>
      <c r="D646" s="32" t="n"/>
      <c r="E646" s="32" t="n"/>
      <c r="F646" s="36" t="n"/>
      <c r="G646" s="32" t="n"/>
      <c r="H646" s="32" t="n"/>
      <c r="I646" s="37">
        <f>IF(B646="","",DATE(YEAR(B646),MONTH(B646),1))</f>
        <v/>
      </c>
    </row>
    <row r="647">
      <c r="B647" s="35" t="n"/>
      <c r="C647" s="32" t="n"/>
      <c r="D647" s="32" t="n"/>
      <c r="E647" s="32" t="n"/>
      <c r="F647" s="36" t="n"/>
      <c r="G647" s="32" t="n"/>
      <c r="H647" s="32" t="n"/>
      <c r="I647" s="37">
        <f>IF(B647="","",DATE(YEAR(B647),MONTH(B647),1))</f>
        <v/>
      </c>
    </row>
    <row r="648">
      <c r="B648" s="35" t="n"/>
      <c r="C648" s="32" t="n"/>
      <c r="D648" s="32" t="n"/>
      <c r="E648" s="32" t="n"/>
      <c r="F648" s="36" t="n"/>
      <c r="G648" s="32" t="n"/>
      <c r="H648" s="32" t="n"/>
      <c r="I648" s="37">
        <f>IF(B648="","",DATE(YEAR(B648),MONTH(B648),1))</f>
        <v/>
      </c>
    </row>
    <row r="649">
      <c r="B649" s="35" t="n"/>
      <c r="C649" s="32" t="n"/>
      <c r="D649" s="32" t="n"/>
      <c r="E649" s="32" t="n"/>
      <c r="F649" s="36" t="n"/>
      <c r="G649" s="32" t="n"/>
      <c r="H649" s="32" t="n"/>
      <c r="I649" s="37">
        <f>IF(B649="","",DATE(YEAR(B649),MONTH(B649),1))</f>
        <v/>
      </c>
    </row>
    <row r="650">
      <c r="B650" s="35" t="n"/>
      <c r="C650" s="32" t="n"/>
      <c r="D650" s="32" t="n"/>
      <c r="E650" s="32" t="n"/>
      <c r="F650" s="36" t="n"/>
      <c r="G650" s="32" t="n"/>
      <c r="H650" s="32" t="n"/>
      <c r="I650" s="37">
        <f>IF(B650="","",DATE(YEAR(B650),MONTH(B650),1))</f>
        <v/>
      </c>
    </row>
    <row r="651">
      <c r="B651" s="35" t="n"/>
      <c r="C651" s="32" t="n"/>
      <c r="D651" s="32" t="n"/>
      <c r="E651" s="32" t="n"/>
      <c r="F651" s="36" t="n"/>
      <c r="G651" s="32" t="n"/>
      <c r="H651" s="32" t="n"/>
      <c r="I651" s="37">
        <f>IF(B651="","",DATE(YEAR(B651),MONTH(B651),1))</f>
        <v/>
      </c>
    </row>
    <row r="652">
      <c r="B652" s="35" t="n"/>
      <c r="C652" s="32" t="n"/>
      <c r="D652" s="32" t="n"/>
      <c r="E652" s="32" t="n"/>
      <c r="F652" s="36" t="n"/>
      <c r="G652" s="32" t="n"/>
      <c r="H652" s="32" t="n"/>
      <c r="I652" s="37">
        <f>IF(B652="","",DATE(YEAR(B652),MONTH(B652),1))</f>
        <v/>
      </c>
    </row>
    <row r="653">
      <c r="B653" s="35" t="n"/>
      <c r="C653" s="32" t="n"/>
      <c r="D653" s="32" t="n"/>
      <c r="E653" s="32" t="n"/>
      <c r="F653" s="36" t="n"/>
      <c r="G653" s="32" t="n"/>
      <c r="H653" s="32" t="n"/>
      <c r="I653" s="37">
        <f>IF(B653="","",DATE(YEAR(B653),MONTH(B653),1))</f>
        <v/>
      </c>
    </row>
    <row r="654">
      <c r="B654" s="35" t="n"/>
      <c r="C654" s="32" t="n"/>
      <c r="D654" s="32" t="n"/>
      <c r="E654" s="32" t="n"/>
      <c r="F654" s="36" t="n"/>
      <c r="G654" s="32" t="n"/>
      <c r="H654" s="32" t="n"/>
      <c r="I654" s="37">
        <f>IF(B654="","",DATE(YEAR(B654),MONTH(B654),1))</f>
        <v/>
      </c>
    </row>
    <row r="655">
      <c r="B655" s="35" t="n"/>
      <c r="C655" s="32" t="n"/>
      <c r="D655" s="32" t="n"/>
      <c r="E655" s="32" t="n"/>
      <c r="F655" s="36" t="n"/>
      <c r="G655" s="32" t="n"/>
      <c r="H655" s="32" t="n"/>
      <c r="I655" s="37">
        <f>IF(B655="","",DATE(YEAR(B655),MONTH(B655),1))</f>
        <v/>
      </c>
    </row>
    <row r="656">
      <c r="B656" s="35" t="n"/>
      <c r="C656" s="32" t="n"/>
      <c r="D656" s="32" t="n"/>
      <c r="E656" s="32" t="n"/>
      <c r="F656" s="36" t="n"/>
      <c r="G656" s="32" t="n"/>
      <c r="H656" s="32" t="n"/>
      <c r="I656" s="37">
        <f>IF(B656="","",DATE(YEAR(B656),MONTH(B656),1))</f>
        <v/>
      </c>
    </row>
    <row r="657">
      <c r="B657" s="35" t="n"/>
      <c r="C657" s="32" t="n"/>
      <c r="D657" s="32" t="n"/>
      <c r="E657" s="32" t="n"/>
      <c r="F657" s="36" t="n"/>
      <c r="G657" s="32" t="n"/>
      <c r="H657" s="32" t="n"/>
      <c r="I657" s="37">
        <f>IF(B657="","",DATE(YEAR(B657),MONTH(B657),1))</f>
        <v/>
      </c>
    </row>
    <row r="658">
      <c r="B658" s="35" t="n"/>
      <c r="C658" s="32" t="n"/>
      <c r="D658" s="32" t="n"/>
      <c r="E658" s="32" t="n"/>
      <c r="F658" s="36" t="n"/>
      <c r="G658" s="32" t="n"/>
      <c r="H658" s="32" t="n"/>
      <c r="I658" s="37">
        <f>IF(B658="","",DATE(YEAR(B658),MONTH(B658),1))</f>
        <v/>
      </c>
    </row>
    <row r="659">
      <c r="B659" s="35" t="n"/>
      <c r="C659" s="32" t="n"/>
      <c r="D659" s="32" t="n"/>
      <c r="E659" s="32" t="n"/>
      <c r="F659" s="36" t="n"/>
      <c r="G659" s="32" t="n"/>
      <c r="H659" s="32" t="n"/>
      <c r="I659" s="37">
        <f>IF(B659="","",DATE(YEAR(B659),MONTH(B659),1))</f>
        <v/>
      </c>
    </row>
    <row r="660">
      <c r="B660" s="35" t="n"/>
      <c r="C660" s="32" t="n"/>
      <c r="D660" s="32" t="n"/>
      <c r="E660" s="32" t="n"/>
      <c r="F660" s="36" t="n"/>
      <c r="G660" s="32" t="n"/>
      <c r="H660" s="32" t="n"/>
      <c r="I660" s="37">
        <f>IF(B660="","",DATE(YEAR(B660),MONTH(B660),1))</f>
        <v/>
      </c>
    </row>
    <row r="661">
      <c r="B661" s="35" t="n"/>
      <c r="C661" s="32" t="n"/>
      <c r="D661" s="32" t="n"/>
      <c r="E661" s="32" t="n"/>
      <c r="F661" s="36" t="n"/>
      <c r="G661" s="32" t="n"/>
      <c r="H661" s="32" t="n"/>
      <c r="I661" s="37">
        <f>IF(B661="","",DATE(YEAR(B661),MONTH(B661),1))</f>
        <v/>
      </c>
    </row>
    <row r="662">
      <c r="B662" s="35" t="n"/>
      <c r="C662" s="32" t="n"/>
      <c r="D662" s="32" t="n"/>
      <c r="E662" s="32" t="n"/>
      <c r="F662" s="36" t="n"/>
      <c r="G662" s="32" t="n"/>
      <c r="H662" s="32" t="n"/>
      <c r="I662" s="37">
        <f>IF(B662="","",DATE(YEAR(B662),MONTH(B662),1))</f>
        <v/>
      </c>
    </row>
    <row r="663">
      <c r="B663" s="35" t="n"/>
      <c r="C663" s="32" t="n"/>
      <c r="D663" s="32" t="n"/>
      <c r="E663" s="32" t="n"/>
      <c r="F663" s="36" t="n"/>
      <c r="G663" s="32" t="n"/>
      <c r="H663" s="32" t="n"/>
      <c r="I663" s="37">
        <f>IF(B663="","",DATE(YEAR(B663),MONTH(B663),1))</f>
        <v/>
      </c>
    </row>
    <row r="664">
      <c r="B664" s="35" t="n"/>
      <c r="C664" s="32" t="n"/>
      <c r="D664" s="32" t="n"/>
      <c r="E664" s="32" t="n"/>
      <c r="F664" s="36" t="n"/>
      <c r="G664" s="32" t="n"/>
      <c r="H664" s="32" t="n"/>
      <c r="I664" s="37">
        <f>IF(B664="","",DATE(YEAR(B664),MONTH(B664),1))</f>
        <v/>
      </c>
    </row>
    <row r="665">
      <c r="B665" s="35" t="n"/>
      <c r="C665" s="32" t="n"/>
      <c r="D665" s="32" t="n"/>
      <c r="E665" s="32" t="n"/>
      <c r="F665" s="36" t="n"/>
      <c r="G665" s="32" t="n"/>
      <c r="H665" s="32" t="n"/>
      <c r="I665" s="37">
        <f>IF(B665="","",DATE(YEAR(B665),MONTH(B665),1))</f>
        <v/>
      </c>
    </row>
    <row r="666">
      <c r="B666" s="35" t="n"/>
      <c r="C666" s="32" t="n"/>
      <c r="D666" s="32" t="n"/>
      <c r="E666" s="32" t="n"/>
      <c r="F666" s="36" t="n"/>
      <c r="G666" s="32" t="n"/>
      <c r="H666" s="32" t="n"/>
      <c r="I666" s="37">
        <f>IF(B666="","",DATE(YEAR(B666),MONTH(B666),1))</f>
        <v/>
      </c>
    </row>
    <row r="667">
      <c r="B667" s="35" t="n"/>
      <c r="C667" s="32" t="n"/>
      <c r="D667" s="32" t="n"/>
      <c r="E667" s="32" t="n"/>
      <c r="F667" s="36" t="n"/>
      <c r="G667" s="32" t="n"/>
      <c r="H667" s="32" t="n"/>
      <c r="I667" s="37">
        <f>IF(B667="","",DATE(YEAR(B667),MONTH(B667),1))</f>
        <v/>
      </c>
    </row>
    <row r="668">
      <c r="B668" s="35" t="n"/>
      <c r="C668" s="32" t="n"/>
      <c r="D668" s="32" t="n"/>
      <c r="E668" s="32" t="n"/>
      <c r="F668" s="36" t="n"/>
      <c r="G668" s="32" t="n"/>
      <c r="H668" s="32" t="n"/>
      <c r="I668" s="37">
        <f>IF(B668="","",DATE(YEAR(B668),MONTH(B668),1))</f>
        <v/>
      </c>
    </row>
    <row r="669">
      <c r="B669" s="35" t="n"/>
      <c r="C669" s="32" t="n"/>
      <c r="D669" s="32" t="n"/>
      <c r="E669" s="32" t="n"/>
      <c r="F669" s="36" t="n"/>
      <c r="G669" s="32" t="n"/>
      <c r="H669" s="32" t="n"/>
      <c r="I669" s="37">
        <f>IF(B669="","",DATE(YEAR(B669),MONTH(B669),1))</f>
        <v/>
      </c>
    </row>
    <row r="670">
      <c r="B670" s="35" t="n"/>
      <c r="C670" s="32" t="n"/>
      <c r="D670" s="32" t="n"/>
      <c r="E670" s="32" t="n"/>
      <c r="F670" s="36" t="n"/>
      <c r="G670" s="32" t="n"/>
      <c r="H670" s="32" t="n"/>
      <c r="I670" s="37">
        <f>IF(B670="","",DATE(YEAR(B670),MONTH(B670),1))</f>
        <v/>
      </c>
    </row>
    <row r="671">
      <c r="B671" s="35" t="n"/>
      <c r="C671" s="32" t="n"/>
      <c r="D671" s="32" t="n"/>
      <c r="E671" s="32" t="n"/>
      <c r="F671" s="36" t="n"/>
      <c r="G671" s="32" t="n"/>
      <c r="H671" s="32" t="n"/>
      <c r="I671" s="37">
        <f>IF(B671="","",DATE(YEAR(B671),MONTH(B671),1))</f>
        <v/>
      </c>
    </row>
    <row r="672">
      <c r="B672" s="35" t="n"/>
      <c r="C672" s="32" t="n"/>
      <c r="D672" s="32" t="n"/>
      <c r="E672" s="32" t="n"/>
      <c r="F672" s="36" t="n"/>
      <c r="G672" s="32" t="n"/>
      <c r="H672" s="32" t="n"/>
      <c r="I672" s="37">
        <f>IF(B672="","",DATE(YEAR(B672),MONTH(B672),1))</f>
        <v/>
      </c>
    </row>
    <row r="673">
      <c r="B673" s="35" t="n"/>
      <c r="C673" s="32" t="n"/>
      <c r="D673" s="32" t="n"/>
      <c r="E673" s="32" t="n"/>
      <c r="F673" s="36" t="n"/>
      <c r="G673" s="32" t="n"/>
      <c r="H673" s="32" t="n"/>
      <c r="I673" s="37">
        <f>IF(B673="","",DATE(YEAR(B673),MONTH(B673),1))</f>
        <v/>
      </c>
    </row>
    <row r="674">
      <c r="B674" s="35" t="n"/>
      <c r="C674" s="32" t="n"/>
      <c r="D674" s="32" t="n"/>
      <c r="E674" s="32" t="n"/>
      <c r="F674" s="36" t="n"/>
      <c r="G674" s="32" t="n"/>
      <c r="H674" s="32" t="n"/>
      <c r="I674" s="37">
        <f>IF(B674="","",DATE(YEAR(B674),MONTH(B674),1))</f>
        <v/>
      </c>
    </row>
    <row r="675">
      <c r="B675" s="35" t="n"/>
      <c r="C675" s="32" t="n"/>
      <c r="D675" s="32" t="n"/>
      <c r="E675" s="32" t="n"/>
      <c r="F675" s="36" t="n"/>
      <c r="G675" s="32" t="n"/>
      <c r="H675" s="32" t="n"/>
      <c r="I675" s="37">
        <f>IF(B675="","",DATE(YEAR(B675),MONTH(B675),1))</f>
        <v/>
      </c>
    </row>
    <row r="676">
      <c r="B676" s="35" t="n"/>
      <c r="C676" s="32" t="n"/>
      <c r="D676" s="32" t="n"/>
      <c r="E676" s="32" t="n"/>
      <c r="F676" s="36" t="n"/>
      <c r="G676" s="32" t="n"/>
      <c r="H676" s="32" t="n"/>
      <c r="I676" s="37">
        <f>IF(B676="","",DATE(YEAR(B676),MONTH(B676),1))</f>
        <v/>
      </c>
    </row>
    <row r="677">
      <c r="B677" s="35" t="n"/>
      <c r="C677" s="32" t="n"/>
      <c r="D677" s="32" t="n"/>
      <c r="E677" s="32" t="n"/>
      <c r="F677" s="36" t="n"/>
      <c r="G677" s="32" t="n"/>
      <c r="H677" s="32" t="n"/>
      <c r="I677" s="37">
        <f>IF(B677="","",DATE(YEAR(B677),MONTH(B677),1))</f>
        <v/>
      </c>
    </row>
    <row r="678">
      <c r="B678" s="35" t="n"/>
      <c r="C678" s="32" t="n"/>
      <c r="D678" s="32" t="n"/>
      <c r="E678" s="32" t="n"/>
      <c r="F678" s="36" t="n"/>
      <c r="G678" s="32" t="n"/>
      <c r="H678" s="32" t="n"/>
      <c r="I678" s="37">
        <f>IF(B678="","",DATE(YEAR(B678),MONTH(B678),1))</f>
        <v/>
      </c>
    </row>
    <row r="679">
      <c r="B679" s="35" t="n"/>
      <c r="C679" s="32" t="n"/>
      <c r="D679" s="32" t="n"/>
      <c r="E679" s="32" t="n"/>
      <c r="F679" s="36" t="n"/>
      <c r="G679" s="32" t="n"/>
      <c r="H679" s="32" t="n"/>
      <c r="I679" s="37">
        <f>IF(B679="","",DATE(YEAR(B679),MONTH(B679),1))</f>
        <v/>
      </c>
    </row>
    <row r="680">
      <c r="B680" s="35" t="n"/>
      <c r="C680" s="32" t="n"/>
      <c r="D680" s="32" t="n"/>
      <c r="E680" s="32" t="n"/>
      <c r="F680" s="36" t="n"/>
      <c r="G680" s="32" t="n"/>
      <c r="H680" s="32" t="n"/>
      <c r="I680" s="37">
        <f>IF(B680="","",DATE(YEAR(B680),MONTH(B680),1))</f>
        <v/>
      </c>
    </row>
    <row r="681">
      <c r="B681" s="35" t="n"/>
      <c r="C681" s="32" t="n"/>
      <c r="D681" s="32" t="n"/>
      <c r="E681" s="32" t="n"/>
      <c r="F681" s="36" t="n"/>
      <c r="G681" s="32" t="n"/>
      <c r="H681" s="32" t="n"/>
      <c r="I681" s="37">
        <f>IF(B681="","",DATE(YEAR(B681),MONTH(B681),1))</f>
        <v/>
      </c>
    </row>
    <row r="682">
      <c r="B682" s="35" t="n"/>
      <c r="C682" s="32" t="n"/>
      <c r="D682" s="32" t="n"/>
      <c r="E682" s="32" t="n"/>
      <c r="F682" s="36" t="n"/>
      <c r="G682" s="32" t="n"/>
      <c r="H682" s="32" t="n"/>
      <c r="I682" s="37">
        <f>IF(B682="","",DATE(YEAR(B682),MONTH(B682),1))</f>
        <v/>
      </c>
    </row>
    <row r="683">
      <c r="B683" s="35" t="n"/>
      <c r="C683" s="32" t="n"/>
      <c r="D683" s="32" t="n"/>
      <c r="E683" s="32" t="n"/>
      <c r="F683" s="36" t="n"/>
      <c r="G683" s="32" t="n"/>
      <c r="H683" s="32" t="n"/>
      <c r="I683" s="37">
        <f>IF(B683="","",DATE(YEAR(B683),MONTH(B683),1))</f>
        <v/>
      </c>
    </row>
    <row r="684">
      <c r="B684" s="35" t="n"/>
      <c r="C684" s="32" t="n"/>
      <c r="D684" s="32" t="n"/>
      <c r="E684" s="32" t="n"/>
      <c r="F684" s="36" t="n"/>
      <c r="G684" s="32" t="n"/>
      <c r="H684" s="32" t="n"/>
      <c r="I684" s="37">
        <f>IF(B684="","",DATE(YEAR(B684),MONTH(B684),1))</f>
        <v/>
      </c>
    </row>
    <row r="685">
      <c r="B685" s="35" t="n"/>
      <c r="C685" s="32" t="n"/>
      <c r="D685" s="32" t="n"/>
      <c r="E685" s="32" t="n"/>
      <c r="F685" s="36" t="n"/>
      <c r="G685" s="32" t="n"/>
      <c r="H685" s="32" t="n"/>
      <c r="I685" s="37">
        <f>IF(B685="","",DATE(YEAR(B685),MONTH(B685),1))</f>
        <v/>
      </c>
    </row>
    <row r="686">
      <c r="B686" s="35" t="n"/>
      <c r="C686" s="32" t="n"/>
      <c r="D686" s="32" t="n"/>
      <c r="E686" s="32" t="n"/>
      <c r="F686" s="36" t="n"/>
      <c r="G686" s="32" t="n"/>
      <c r="H686" s="32" t="n"/>
      <c r="I686" s="37">
        <f>IF(B686="","",DATE(YEAR(B686),MONTH(B686),1))</f>
        <v/>
      </c>
    </row>
    <row r="687">
      <c r="B687" s="35" t="n"/>
      <c r="C687" s="32" t="n"/>
      <c r="D687" s="32" t="n"/>
      <c r="E687" s="32" t="n"/>
      <c r="F687" s="36" t="n"/>
      <c r="G687" s="32" t="n"/>
      <c r="H687" s="32" t="n"/>
      <c r="I687" s="37">
        <f>IF(B687="","",DATE(YEAR(B687),MONTH(B687),1))</f>
        <v/>
      </c>
    </row>
    <row r="688">
      <c r="B688" s="35" t="n"/>
      <c r="C688" s="32" t="n"/>
      <c r="D688" s="32" t="n"/>
      <c r="E688" s="32" t="n"/>
      <c r="F688" s="36" t="n"/>
      <c r="G688" s="32" t="n"/>
      <c r="H688" s="32" t="n"/>
      <c r="I688" s="37">
        <f>IF(B688="","",DATE(YEAR(B688),MONTH(B688),1))</f>
        <v/>
      </c>
    </row>
    <row r="689">
      <c r="B689" s="35" t="n"/>
      <c r="C689" s="32" t="n"/>
      <c r="D689" s="32" t="n"/>
      <c r="E689" s="32" t="n"/>
      <c r="F689" s="36" t="n"/>
      <c r="G689" s="32" t="n"/>
      <c r="H689" s="32" t="n"/>
      <c r="I689" s="37">
        <f>IF(B689="","",DATE(YEAR(B689),MONTH(B689),1))</f>
        <v/>
      </c>
    </row>
    <row r="690">
      <c r="B690" s="35" t="n"/>
      <c r="C690" s="32" t="n"/>
      <c r="D690" s="32" t="n"/>
      <c r="E690" s="32" t="n"/>
      <c r="F690" s="36" t="n"/>
      <c r="G690" s="32" t="n"/>
      <c r="H690" s="32" t="n"/>
      <c r="I690" s="37">
        <f>IF(B690="","",DATE(YEAR(B690),MONTH(B690),1))</f>
        <v/>
      </c>
    </row>
    <row r="691">
      <c r="B691" s="35" t="n"/>
      <c r="C691" s="32" t="n"/>
      <c r="D691" s="32" t="n"/>
      <c r="E691" s="32" t="n"/>
      <c r="F691" s="36" t="n"/>
      <c r="G691" s="32" t="n"/>
      <c r="H691" s="32" t="n"/>
      <c r="I691" s="37">
        <f>IF(B691="","",DATE(YEAR(B691),MONTH(B691),1))</f>
        <v/>
      </c>
    </row>
    <row r="692">
      <c r="B692" s="35" t="n"/>
      <c r="C692" s="32" t="n"/>
      <c r="D692" s="32" t="n"/>
      <c r="E692" s="32" t="n"/>
      <c r="F692" s="36" t="n"/>
      <c r="G692" s="32" t="n"/>
      <c r="H692" s="32" t="n"/>
      <c r="I692" s="37">
        <f>IF(B692="","",DATE(YEAR(B692),MONTH(B692),1))</f>
        <v/>
      </c>
    </row>
    <row r="693">
      <c r="B693" s="35" t="n"/>
      <c r="C693" s="32" t="n"/>
      <c r="D693" s="32" t="n"/>
      <c r="E693" s="32" t="n"/>
      <c r="F693" s="36" t="n"/>
      <c r="G693" s="32" t="n"/>
      <c r="H693" s="32" t="n"/>
      <c r="I693" s="37">
        <f>IF(B693="","",DATE(YEAR(B693),MONTH(B693),1))</f>
        <v/>
      </c>
    </row>
    <row r="694">
      <c r="B694" s="35" t="n"/>
      <c r="C694" s="32" t="n"/>
      <c r="D694" s="32" t="n"/>
      <c r="E694" s="32" t="n"/>
      <c r="F694" s="36" t="n"/>
      <c r="G694" s="32" t="n"/>
      <c r="H694" s="32" t="n"/>
      <c r="I694" s="37">
        <f>IF(B694="","",DATE(YEAR(B694),MONTH(B694),1))</f>
        <v/>
      </c>
    </row>
    <row r="695">
      <c r="B695" s="35" t="n"/>
      <c r="C695" s="32" t="n"/>
      <c r="D695" s="32" t="n"/>
      <c r="E695" s="32" t="n"/>
      <c r="F695" s="36" t="n"/>
      <c r="G695" s="32" t="n"/>
      <c r="H695" s="32" t="n"/>
      <c r="I695" s="37">
        <f>IF(B695="","",DATE(YEAR(B695),MONTH(B695),1))</f>
        <v/>
      </c>
    </row>
    <row r="696">
      <c r="B696" s="35" t="n"/>
      <c r="C696" s="32" t="n"/>
      <c r="D696" s="32" t="n"/>
      <c r="E696" s="32" t="n"/>
      <c r="F696" s="36" t="n"/>
      <c r="G696" s="32" t="n"/>
      <c r="H696" s="32" t="n"/>
      <c r="I696" s="37">
        <f>IF(B696="","",DATE(YEAR(B696),MONTH(B696),1))</f>
        <v/>
      </c>
    </row>
    <row r="697">
      <c r="B697" s="35" t="n"/>
      <c r="C697" s="32" t="n"/>
      <c r="D697" s="32" t="n"/>
      <c r="E697" s="32" t="n"/>
      <c r="F697" s="36" t="n"/>
      <c r="G697" s="32" t="n"/>
      <c r="H697" s="32" t="n"/>
      <c r="I697" s="37">
        <f>IF(B697="","",DATE(YEAR(B697),MONTH(B697),1))</f>
        <v/>
      </c>
    </row>
    <row r="698">
      <c r="B698" s="35" t="n"/>
      <c r="C698" s="32" t="n"/>
      <c r="D698" s="32" t="n"/>
      <c r="E698" s="32" t="n"/>
      <c r="F698" s="36" t="n"/>
      <c r="G698" s="32" t="n"/>
      <c r="H698" s="32" t="n"/>
      <c r="I698" s="37">
        <f>IF(B698="","",DATE(YEAR(B698),MONTH(B698),1))</f>
        <v/>
      </c>
    </row>
    <row r="699">
      <c r="B699" s="35" t="n"/>
      <c r="C699" s="32" t="n"/>
      <c r="D699" s="32" t="n"/>
      <c r="E699" s="32" t="n"/>
      <c r="F699" s="36" t="n"/>
      <c r="G699" s="32" t="n"/>
      <c r="H699" s="32" t="n"/>
      <c r="I699" s="37">
        <f>IF(B699="","",DATE(YEAR(B699),MONTH(B699),1))</f>
        <v/>
      </c>
    </row>
    <row r="700">
      <c r="B700" s="35" t="n"/>
      <c r="C700" s="32" t="n"/>
      <c r="D700" s="32" t="n"/>
      <c r="E700" s="32" t="n"/>
      <c r="F700" s="36" t="n"/>
      <c r="G700" s="32" t="n"/>
      <c r="H700" s="32" t="n"/>
      <c r="I700" s="37">
        <f>IF(B700="","",DATE(YEAR(B700),MONTH(B700),1))</f>
        <v/>
      </c>
    </row>
    <row r="701">
      <c r="B701" s="35" t="n"/>
      <c r="C701" s="32" t="n"/>
      <c r="D701" s="32" t="n"/>
      <c r="E701" s="32" t="n"/>
      <c r="F701" s="36" t="n"/>
      <c r="G701" s="32" t="n"/>
      <c r="H701" s="32" t="n"/>
      <c r="I701" s="37">
        <f>IF(B701="","",DATE(YEAR(B701),MONTH(B701),1))</f>
        <v/>
      </c>
    </row>
    <row r="702">
      <c r="B702" s="35" t="n"/>
      <c r="C702" s="32" t="n"/>
      <c r="D702" s="32" t="n"/>
      <c r="E702" s="32" t="n"/>
      <c r="F702" s="36" t="n"/>
      <c r="G702" s="32" t="n"/>
      <c r="H702" s="32" t="n"/>
      <c r="I702" s="37">
        <f>IF(B702="","",DATE(YEAR(B702),MONTH(B702),1))</f>
        <v/>
      </c>
    </row>
    <row r="703">
      <c r="B703" s="35" t="n"/>
      <c r="C703" s="32" t="n"/>
      <c r="D703" s="32" t="n"/>
      <c r="E703" s="32" t="n"/>
      <c r="F703" s="36" t="n"/>
      <c r="G703" s="32" t="n"/>
      <c r="H703" s="32" t="n"/>
      <c r="I703" s="37">
        <f>IF(B703="","",DATE(YEAR(B703),MONTH(B703),1))</f>
        <v/>
      </c>
    </row>
    <row r="704">
      <c r="B704" s="35" t="n"/>
      <c r="C704" s="32" t="n"/>
      <c r="D704" s="32" t="n"/>
      <c r="E704" s="32" t="n"/>
      <c r="F704" s="36" t="n"/>
      <c r="G704" s="32" t="n"/>
      <c r="H704" s="32" t="n"/>
      <c r="I704" s="37">
        <f>IF(B704="","",DATE(YEAR(B704),MONTH(B704),1))</f>
        <v/>
      </c>
    </row>
    <row r="705">
      <c r="B705" s="35" t="n"/>
      <c r="C705" s="32" t="n"/>
      <c r="D705" s="32" t="n"/>
      <c r="E705" s="32" t="n"/>
      <c r="F705" s="36" t="n"/>
      <c r="G705" s="32" t="n"/>
      <c r="H705" s="32" t="n"/>
      <c r="I705" s="37">
        <f>IF(B705="","",DATE(YEAR(B705),MONTH(B705),1))</f>
        <v/>
      </c>
    </row>
    <row r="706">
      <c r="B706" s="35" t="n"/>
      <c r="C706" s="32" t="n"/>
      <c r="D706" s="32" t="n"/>
      <c r="E706" s="32" t="n"/>
      <c r="F706" s="36" t="n"/>
      <c r="G706" s="32" t="n"/>
      <c r="H706" s="32" t="n"/>
      <c r="I706" s="37">
        <f>IF(B706="","",DATE(YEAR(B706),MONTH(B706),1))</f>
        <v/>
      </c>
    </row>
    <row r="707">
      <c r="B707" s="35" t="n"/>
      <c r="C707" s="32" t="n"/>
      <c r="D707" s="32" t="n"/>
      <c r="E707" s="32" t="n"/>
      <c r="F707" s="36" t="n"/>
      <c r="G707" s="32" t="n"/>
      <c r="H707" s="32" t="n"/>
      <c r="I707" s="37">
        <f>IF(B707="","",DATE(YEAR(B707),MONTH(B707),1))</f>
        <v/>
      </c>
    </row>
    <row r="708">
      <c r="B708" s="35" t="n"/>
      <c r="C708" s="32" t="n"/>
      <c r="D708" s="32" t="n"/>
      <c r="E708" s="32" t="n"/>
      <c r="F708" s="36" t="n"/>
      <c r="G708" s="32" t="n"/>
      <c r="H708" s="32" t="n"/>
      <c r="I708" s="37">
        <f>IF(B708="","",DATE(YEAR(B708),MONTH(B708),1))</f>
        <v/>
      </c>
    </row>
    <row r="709">
      <c r="B709" s="35" t="n"/>
      <c r="C709" s="32" t="n"/>
      <c r="D709" s="32" t="n"/>
      <c r="E709" s="32" t="n"/>
      <c r="F709" s="36" t="n"/>
      <c r="G709" s="32" t="n"/>
      <c r="H709" s="32" t="n"/>
      <c r="I709" s="37">
        <f>IF(B709="","",DATE(YEAR(B709),MONTH(B709),1))</f>
        <v/>
      </c>
    </row>
    <row r="710">
      <c r="B710" s="35" t="n"/>
      <c r="C710" s="32" t="n"/>
      <c r="D710" s="32" t="n"/>
      <c r="E710" s="32" t="n"/>
      <c r="F710" s="36" t="n"/>
      <c r="G710" s="32" t="n"/>
      <c r="H710" s="32" t="n"/>
      <c r="I710" s="37">
        <f>IF(B710="","",DATE(YEAR(B710),MONTH(B710),1))</f>
        <v/>
      </c>
    </row>
    <row r="711">
      <c r="B711" s="35" t="n"/>
      <c r="C711" s="32" t="n"/>
      <c r="D711" s="32" t="n"/>
      <c r="E711" s="32" t="n"/>
      <c r="F711" s="36" t="n"/>
      <c r="G711" s="32" t="n"/>
      <c r="H711" s="32" t="n"/>
      <c r="I711" s="37">
        <f>IF(B711="","",DATE(YEAR(B711),MONTH(B711),1))</f>
        <v/>
      </c>
    </row>
    <row r="712">
      <c r="B712" s="35" t="n"/>
      <c r="C712" s="32" t="n"/>
      <c r="D712" s="32" t="n"/>
      <c r="E712" s="32" t="n"/>
      <c r="F712" s="36" t="n"/>
      <c r="G712" s="32" t="n"/>
      <c r="H712" s="32" t="n"/>
      <c r="I712" s="37">
        <f>IF(B712="","",DATE(YEAR(B712),MONTH(B712),1))</f>
        <v/>
      </c>
    </row>
    <row r="713">
      <c r="B713" s="35" t="n"/>
      <c r="C713" s="32" t="n"/>
      <c r="D713" s="32" t="n"/>
      <c r="E713" s="32" t="n"/>
      <c r="F713" s="36" t="n"/>
      <c r="G713" s="32" t="n"/>
      <c r="H713" s="32" t="n"/>
      <c r="I713" s="37">
        <f>IF(B713="","",DATE(YEAR(B713),MONTH(B713),1))</f>
        <v/>
      </c>
    </row>
    <row r="714">
      <c r="B714" s="35" t="n"/>
      <c r="C714" s="32" t="n"/>
      <c r="D714" s="32" t="n"/>
      <c r="E714" s="32" t="n"/>
      <c r="F714" s="36" t="n"/>
      <c r="G714" s="32" t="n"/>
      <c r="H714" s="32" t="n"/>
      <c r="I714" s="37">
        <f>IF(B714="","",DATE(YEAR(B714),MONTH(B714),1))</f>
        <v/>
      </c>
    </row>
    <row r="715">
      <c r="B715" s="35" t="n"/>
      <c r="C715" s="32" t="n"/>
      <c r="D715" s="32" t="n"/>
      <c r="E715" s="32" t="n"/>
      <c r="F715" s="36" t="n"/>
      <c r="G715" s="32" t="n"/>
      <c r="H715" s="32" t="n"/>
      <c r="I715" s="37">
        <f>IF(B715="","",DATE(YEAR(B715),MONTH(B715),1))</f>
        <v/>
      </c>
    </row>
    <row r="716">
      <c r="B716" s="35" t="n"/>
      <c r="C716" s="32" t="n"/>
      <c r="D716" s="32" t="n"/>
      <c r="E716" s="32" t="n"/>
      <c r="F716" s="36" t="n"/>
      <c r="G716" s="32" t="n"/>
      <c r="H716" s="32" t="n"/>
      <c r="I716" s="37">
        <f>IF(B716="","",DATE(YEAR(B716),MONTH(B716),1))</f>
        <v/>
      </c>
    </row>
    <row r="717">
      <c r="B717" s="35" t="n"/>
      <c r="C717" s="32" t="n"/>
      <c r="D717" s="32" t="n"/>
      <c r="E717" s="32" t="n"/>
      <c r="F717" s="36" t="n"/>
      <c r="G717" s="32" t="n"/>
      <c r="H717" s="32" t="n"/>
      <c r="I717" s="37">
        <f>IF(B717="","",DATE(YEAR(B717),MONTH(B717),1))</f>
        <v/>
      </c>
    </row>
    <row r="718">
      <c r="B718" s="35" t="n"/>
      <c r="C718" s="32" t="n"/>
      <c r="D718" s="32" t="n"/>
      <c r="E718" s="32" t="n"/>
      <c r="F718" s="36" t="n"/>
      <c r="G718" s="32" t="n"/>
      <c r="H718" s="32" t="n"/>
      <c r="I718" s="37">
        <f>IF(B718="","",DATE(YEAR(B718),MONTH(B718),1))</f>
        <v/>
      </c>
    </row>
    <row r="719">
      <c r="B719" s="35" t="n"/>
      <c r="C719" s="32" t="n"/>
      <c r="D719" s="32" t="n"/>
      <c r="E719" s="32" t="n"/>
      <c r="F719" s="36" t="n"/>
      <c r="G719" s="32" t="n"/>
      <c r="H719" s="32" t="n"/>
      <c r="I719" s="37">
        <f>IF(B719="","",DATE(YEAR(B719),MONTH(B719),1))</f>
        <v/>
      </c>
    </row>
    <row r="720">
      <c r="B720" s="35" t="n"/>
      <c r="C720" s="32" t="n"/>
      <c r="D720" s="32" t="n"/>
      <c r="E720" s="32" t="n"/>
      <c r="F720" s="36" t="n"/>
      <c r="G720" s="32" t="n"/>
      <c r="H720" s="32" t="n"/>
      <c r="I720" s="37">
        <f>IF(B720="","",DATE(YEAR(B720),MONTH(B720),1))</f>
        <v/>
      </c>
    </row>
    <row r="721">
      <c r="B721" s="35" t="n"/>
      <c r="C721" s="32" t="n"/>
      <c r="D721" s="32" t="n"/>
      <c r="E721" s="32" t="n"/>
      <c r="F721" s="36" t="n"/>
      <c r="G721" s="32" t="n"/>
      <c r="H721" s="32" t="n"/>
      <c r="I721" s="37">
        <f>IF(B721="","",DATE(YEAR(B721),MONTH(B721),1))</f>
        <v/>
      </c>
    </row>
    <row r="722">
      <c r="B722" s="35" t="n"/>
      <c r="C722" s="32" t="n"/>
      <c r="D722" s="32" t="n"/>
      <c r="E722" s="32" t="n"/>
      <c r="F722" s="36" t="n"/>
      <c r="G722" s="32" t="n"/>
      <c r="H722" s="32" t="n"/>
      <c r="I722" s="37">
        <f>IF(B722="","",DATE(YEAR(B722),MONTH(B722),1))</f>
        <v/>
      </c>
    </row>
    <row r="723">
      <c r="B723" s="35" t="n"/>
      <c r="C723" s="32" t="n"/>
      <c r="D723" s="32" t="n"/>
      <c r="E723" s="32" t="n"/>
      <c r="F723" s="36" t="n"/>
      <c r="G723" s="32" t="n"/>
      <c r="H723" s="32" t="n"/>
      <c r="I723" s="37">
        <f>IF(B723="","",DATE(YEAR(B723),MONTH(B723),1))</f>
        <v/>
      </c>
    </row>
    <row r="724">
      <c r="B724" s="35" t="n"/>
      <c r="C724" s="32" t="n"/>
      <c r="D724" s="32" t="n"/>
      <c r="E724" s="32" t="n"/>
      <c r="F724" s="36" t="n"/>
      <c r="G724" s="32" t="n"/>
      <c r="H724" s="32" t="n"/>
      <c r="I724" s="37">
        <f>IF(B724="","",DATE(YEAR(B724),MONTH(B724),1))</f>
        <v/>
      </c>
    </row>
    <row r="725">
      <c r="B725" s="35" t="n"/>
      <c r="C725" s="32" t="n"/>
      <c r="D725" s="32" t="n"/>
      <c r="E725" s="32" t="n"/>
      <c r="F725" s="36" t="n"/>
      <c r="G725" s="32" t="n"/>
      <c r="H725" s="32" t="n"/>
      <c r="I725" s="37">
        <f>IF(B725="","",DATE(YEAR(B725),MONTH(B725),1))</f>
        <v/>
      </c>
    </row>
    <row r="726">
      <c r="B726" s="35" t="n"/>
      <c r="C726" s="32" t="n"/>
      <c r="D726" s="32" t="n"/>
      <c r="E726" s="32" t="n"/>
      <c r="F726" s="36" t="n"/>
      <c r="G726" s="32" t="n"/>
      <c r="H726" s="32" t="n"/>
      <c r="I726" s="37">
        <f>IF(B726="","",DATE(YEAR(B726),MONTH(B726),1))</f>
        <v/>
      </c>
    </row>
    <row r="727">
      <c r="B727" s="35" t="n"/>
      <c r="C727" s="32" t="n"/>
      <c r="D727" s="32" t="n"/>
      <c r="E727" s="32" t="n"/>
      <c r="F727" s="36" t="n"/>
      <c r="G727" s="32" t="n"/>
      <c r="H727" s="32" t="n"/>
      <c r="I727" s="37">
        <f>IF(B727="","",DATE(YEAR(B727),MONTH(B727),1))</f>
        <v/>
      </c>
    </row>
    <row r="728">
      <c r="B728" s="35" t="n"/>
      <c r="C728" s="32" t="n"/>
      <c r="D728" s="32" t="n"/>
      <c r="E728" s="32" t="n"/>
      <c r="F728" s="36" t="n"/>
      <c r="G728" s="32" t="n"/>
      <c r="H728" s="32" t="n"/>
      <c r="I728" s="37">
        <f>IF(B728="","",DATE(YEAR(B728),MONTH(B728),1))</f>
        <v/>
      </c>
    </row>
    <row r="729">
      <c r="B729" s="35" t="n"/>
      <c r="C729" s="32" t="n"/>
      <c r="D729" s="32" t="n"/>
      <c r="E729" s="32" t="n"/>
      <c r="F729" s="36" t="n"/>
      <c r="G729" s="32" t="n"/>
      <c r="H729" s="32" t="n"/>
      <c r="I729" s="37">
        <f>IF(B729="","",DATE(YEAR(B729),MONTH(B729),1))</f>
        <v/>
      </c>
    </row>
    <row r="730">
      <c r="B730" s="35" t="n"/>
      <c r="C730" s="32" t="n"/>
      <c r="D730" s="32" t="n"/>
      <c r="E730" s="32" t="n"/>
      <c r="F730" s="36" t="n"/>
      <c r="G730" s="32" t="n"/>
      <c r="H730" s="32" t="n"/>
      <c r="I730" s="37">
        <f>IF(B730="","",DATE(YEAR(B730),MONTH(B730),1))</f>
        <v/>
      </c>
    </row>
    <row r="731">
      <c r="B731" s="35" t="n"/>
      <c r="C731" s="32" t="n"/>
      <c r="D731" s="32" t="n"/>
      <c r="E731" s="32" t="n"/>
      <c r="F731" s="36" t="n"/>
      <c r="G731" s="32" t="n"/>
      <c r="H731" s="32" t="n"/>
      <c r="I731" s="37">
        <f>IF(B731="","",DATE(YEAR(B731),MONTH(B731),1))</f>
        <v/>
      </c>
    </row>
    <row r="732">
      <c r="B732" s="35" t="n"/>
      <c r="C732" s="32" t="n"/>
      <c r="D732" s="32" t="n"/>
      <c r="E732" s="32" t="n"/>
      <c r="F732" s="36" t="n"/>
      <c r="G732" s="32" t="n"/>
      <c r="H732" s="32" t="n"/>
      <c r="I732" s="37">
        <f>IF(B732="","",DATE(YEAR(B732),MONTH(B732),1))</f>
        <v/>
      </c>
    </row>
    <row r="733">
      <c r="B733" s="35" t="n"/>
      <c r="C733" s="32" t="n"/>
      <c r="D733" s="32" t="n"/>
      <c r="E733" s="32" t="n"/>
      <c r="F733" s="36" t="n"/>
      <c r="G733" s="32" t="n"/>
      <c r="H733" s="32" t="n"/>
      <c r="I733" s="37">
        <f>IF(B733="","",DATE(YEAR(B733),MONTH(B733),1))</f>
        <v/>
      </c>
    </row>
    <row r="734">
      <c r="B734" s="35" t="n"/>
      <c r="C734" s="32" t="n"/>
      <c r="D734" s="32" t="n"/>
      <c r="E734" s="32" t="n"/>
      <c r="F734" s="36" t="n"/>
      <c r="G734" s="32" t="n"/>
      <c r="H734" s="32" t="n"/>
      <c r="I734" s="37">
        <f>IF(B734="","",DATE(YEAR(B734),MONTH(B734),1))</f>
        <v/>
      </c>
    </row>
    <row r="735">
      <c r="B735" s="35" t="n"/>
      <c r="C735" s="32" t="n"/>
      <c r="D735" s="32" t="n"/>
      <c r="E735" s="32" t="n"/>
      <c r="F735" s="36" t="n"/>
      <c r="G735" s="32" t="n"/>
      <c r="H735" s="32" t="n"/>
      <c r="I735" s="37">
        <f>IF(B735="","",DATE(YEAR(B735),MONTH(B735),1))</f>
        <v/>
      </c>
    </row>
    <row r="736">
      <c r="B736" s="35" t="n"/>
      <c r="C736" s="32" t="n"/>
      <c r="D736" s="32" t="n"/>
      <c r="E736" s="32" t="n"/>
      <c r="F736" s="36" t="n"/>
      <c r="G736" s="32" t="n"/>
      <c r="H736" s="32" t="n"/>
      <c r="I736" s="37">
        <f>IF(B736="","",DATE(YEAR(B736),MONTH(B736),1))</f>
        <v/>
      </c>
    </row>
    <row r="737">
      <c r="B737" s="35" t="n"/>
      <c r="C737" s="32" t="n"/>
      <c r="D737" s="32" t="n"/>
      <c r="E737" s="32" t="n"/>
      <c r="F737" s="36" t="n"/>
      <c r="G737" s="32" t="n"/>
      <c r="H737" s="32" t="n"/>
      <c r="I737" s="37">
        <f>IF(B737="","",DATE(YEAR(B737),MONTH(B737),1))</f>
        <v/>
      </c>
    </row>
    <row r="738">
      <c r="B738" s="35" t="n"/>
      <c r="C738" s="32" t="n"/>
      <c r="D738" s="32" t="n"/>
      <c r="E738" s="32" t="n"/>
      <c r="F738" s="36" t="n"/>
      <c r="G738" s="32" t="n"/>
      <c r="H738" s="32" t="n"/>
      <c r="I738" s="37">
        <f>IF(B738="","",DATE(YEAR(B738),MONTH(B738),1))</f>
        <v/>
      </c>
    </row>
    <row r="739">
      <c r="B739" s="35" t="n"/>
      <c r="C739" s="32" t="n"/>
      <c r="D739" s="32" t="n"/>
      <c r="E739" s="32" t="n"/>
      <c r="F739" s="36" t="n"/>
      <c r="G739" s="32" t="n"/>
      <c r="H739" s="32" t="n"/>
      <c r="I739" s="37">
        <f>IF(B739="","",DATE(YEAR(B739),MONTH(B739),1))</f>
        <v/>
      </c>
    </row>
    <row r="740">
      <c r="B740" s="35" t="n"/>
      <c r="C740" s="32" t="n"/>
      <c r="D740" s="32" t="n"/>
      <c r="E740" s="32" t="n"/>
      <c r="F740" s="36" t="n"/>
      <c r="G740" s="32" t="n"/>
      <c r="H740" s="32" t="n"/>
      <c r="I740" s="37">
        <f>IF(B740="","",DATE(YEAR(B740),MONTH(B740),1))</f>
        <v/>
      </c>
    </row>
    <row r="741">
      <c r="B741" s="35" t="n"/>
      <c r="C741" s="32" t="n"/>
      <c r="D741" s="32" t="n"/>
      <c r="E741" s="32" t="n"/>
      <c r="F741" s="36" t="n"/>
      <c r="G741" s="32" t="n"/>
      <c r="H741" s="32" t="n"/>
      <c r="I741" s="37">
        <f>IF(B741="","",DATE(YEAR(B741),MONTH(B741),1))</f>
        <v/>
      </c>
    </row>
    <row r="742">
      <c r="B742" s="35" t="n"/>
      <c r="C742" s="32" t="n"/>
      <c r="D742" s="32" t="n"/>
      <c r="E742" s="32" t="n"/>
      <c r="F742" s="36" t="n"/>
      <c r="G742" s="32" t="n"/>
      <c r="H742" s="32" t="n"/>
      <c r="I742" s="37">
        <f>IF(B742="","",DATE(YEAR(B742),MONTH(B742),1))</f>
        <v/>
      </c>
    </row>
    <row r="743">
      <c r="B743" s="35" t="n"/>
      <c r="C743" s="32" t="n"/>
      <c r="D743" s="32" t="n"/>
      <c r="E743" s="32" t="n"/>
      <c r="F743" s="36" t="n"/>
      <c r="G743" s="32" t="n"/>
      <c r="H743" s="32" t="n"/>
      <c r="I743" s="37">
        <f>IF(B743="","",DATE(YEAR(B743),MONTH(B743),1))</f>
        <v/>
      </c>
    </row>
    <row r="744">
      <c r="B744" s="35" t="n"/>
      <c r="C744" s="32" t="n"/>
      <c r="D744" s="32" t="n"/>
      <c r="E744" s="32" t="n"/>
      <c r="F744" s="36" t="n"/>
      <c r="G744" s="32" t="n"/>
      <c r="H744" s="32" t="n"/>
      <c r="I744" s="37">
        <f>IF(B744="","",DATE(YEAR(B744),MONTH(B744),1))</f>
        <v/>
      </c>
    </row>
    <row r="745">
      <c r="B745" s="35" t="n"/>
      <c r="C745" s="32" t="n"/>
      <c r="D745" s="32" t="n"/>
      <c r="E745" s="32" t="n"/>
      <c r="F745" s="36" t="n"/>
      <c r="G745" s="32" t="n"/>
      <c r="H745" s="32" t="n"/>
      <c r="I745" s="37">
        <f>IF(B745="","",DATE(YEAR(B745),MONTH(B745),1))</f>
        <v/>
      </c>
    </row>
    <row r="746">
      <c r="B746" s="35" t="n"/>
      <c r="C746" s="32" t="n"/>
      <c r="D746" s="32" t="n"/>
      <c r="E746" s="32" t="n"/>
      <c r="F746" s="36" t="n"/>
      <c r="G746" s="32" t="n"/>
      <c r="H746" s="32" t="n"/>
      <c r="I746" s="37">
        <f>IF(B746="","",DATE(YEAR(B746),MONTH(B746),1))</f>
        <v/>
      </c>
    </row>
    <row r="747">
      <c r="B747" s="35" t="n"/>
      <c r="C747" s="32" t="n"/>
      <c r="D747" s="32" t="n"/>
      <c r="E747" s="32" t="n"/>
      <c r="F747" s="36" t="n"/>
      <c r="G747" s="32" t="n"/>
      <c r="H747" s="32" t="n"/>
      <c r="I747" s="37">
        <f>IF(B747="","",DATE(YEAR(B747),MONTH(B747),1))</f>
        <v/>
      </c>
    </row>
    <row r="748">
      <c r="B748" s="35" t="n"/>
      <c r="C748" s="32" t="n"/>
      <c r="D748" s="32" t="n"/>
      <c r="E748" s="32" t="n"/>
      <c r="F748" s="36" t="n"/>
      <c r="G748" s="32" t="n"/>
      <c r="H748" s="32" t="n"/>
      <c r="I748" s="37">
        <f>IF(B748="","",DATE(YEAR(B748),MONTH(B748),1))</f>
        <v/>
      </c>
    </row>
    <row r="749">
      <c r="B749" s="35" t="n"/>
      <c r="C749" s="32" t="n"/>
      <c r="D749" s="32" t="n"/>
      <c r="E749" s="32" t="n"/>
      <c r="F749" s="36" t="n"/>
      <c r="G749" s="32" t="n"/>
      <c r="H749" s="32" t="n"/>
      <c r="I749" s="37">
        <f>IF(B749="","",DATE(YEAR(B749),MONTH(B749),1))</f>
        <v/>
      </c>
    </row>
    <row r="750">
      <c r="B750" s="35" t="n"/>
      <c r="C750" s="32" t="n"/>
      <c r="D750" s="32" t="n"/>
      <c r="E750" s="32" t="n"/>
      <c r="F750" s="36" t="n"/>
      <c r="G750" s="32" t="n"/>
      <c r="H750" s="32" t="n"/>
      <c r="I750" s="37">
        <f>IF(B750="","",DATE(YEAR(B750),MONTH(B750),1))</f>
        <v/>
      </c>
    </row>
    <row r="751">
      <c r="B751" s="35" t="n"/>
      <c r="C751" s="32" t="n"/>
      <c r="D751" s="32" t="n"/>
      <c r="E751" s="32" t="n"/>
      <c r="F751" s="36" t="n"/>
      <c r="G751" s="32" t="n"/>
      <c r="H751" s="32" t="n"/>
      <c r="I751" s="37">
        <f>IF(B751="","",DATE(YEAR(B751),MONTH(B751),1))</f>
        <v/>
      </c>
    </row>
    <row r="752">
      <c r="B752" s="35" t="n"/>
      <c r="C752" s="32" t="n"/>
      <c r="D752" s="32" t="n"/>
      <c r="E752" s="32" t="n"/>
      <c r="F752" s="36" t="n"/>
      <c r="G752" s="32" t="n"/>
      <c r="H752" s="32" t="n"/>
      <c r="I752" s="37">
        <f>IF(B752="","",DATE(YEAR(B752),MONTH(B752),1))</f>
        <v/>
      </c>
    </row>
    <row r="753">
      <c r="B753" s="35" t="n"/>
      <c r="C753" s="32" t="n"/>
      <c r="D753" s="32" t="n"/>
      <c r="E753" s="32" t="n"/>
      <c r="F753" s="36" t="n"/>
      <c r="G753" s="32" t="n"/>
      <c r="H753" s="32" t="n"/>
      <c r="I753" s="37">
        <f>IF(B753="","",DATE(YEAR(B753),MONTH(B753),1))</f>
        <v/>
      </c>
    </row>
    <row r="754">
      <c r="B754" s="35" t="n"/>
      <c r="C754" s="32" t="n"/>
      <c r="D754" s="32" t="n"/>
      <c r="E754" s="32" t="n"/>
      <c r="F754" s="36" t="n"/>
      <c r="G754" s="32" t="n"/>
      <c r="H754" s="32" t="n"/>
      <c r="I754" s="37">
        <f>IF(B754="","",DATE(YEAR(B754),MONTH(B754),1))</f>
        <v/>
      </c>
    </row>
    <row r="755">
      <c r="B755" s="35" t="n"/>
      <c r="C755" s="32" t="n"/>
      <c r="D755" s="32" t="n"/>
      <c r="E755" s="32" t="n"/>
      <c r="F755" s="36" t="n"/>
      <c r="G755" s="32" t="n"/>
      <c r="H755" s="32" t="n"/>
      <c r="I755" s="37">
        <f>IF(B755="","",DATE(YEAR(B755),MONTH(B755),1))</f>
        <v/>
      </c>
    </row>
    <row r="756">
      <c r="B756" s="35" t="n"/>
      <c r="C756" s="32" t="n"/>
      <c r="D756" s="32" t="n"/>
      <c r="E756" s="32" t="n"/>
      <c r="F756" s="36" t="n"/>
      <c r="G756" s="32" t="n"/>
      <c r="H756" s="32" t="n"/>
      <c r="I756" s="37">
        <f>IF(B756="","",DATE(YEAR(B756),MONTH(B756),1))</f>
        <v/>
      </c>
    </row>
    <row r="757">
      <c r="B757" s="35" t="n"/>
      <c r="C757" s="32" t="n"/>
      <c r="D757" s="32" t="n"/>
      <c r="E757" s="32" t="n"/>
      <c r="F757" s="36" t="n"/>
      <c r="G757" s="32" t="n"/>
      <c r="H757" s="32" t="n"/>
      <c r="I757" s="37">
        <f>IF(B757="","",DATE(YEAR(B757),MONTH(B757),1))</f>
        <v/>
      </c>
    </row>
    <row r="758">
      <c r="B758" s="35" t="n"/>
      <c r="C758" s="32" t="n"/>
      <c r="D758" s="32" t="n"/>
      <c r="E758" s="32" t="n"/>
      <c r="F758" s="36" t="n"/>
      <c r="G758" s="32" t="n"/>
      <c r="H758" s="32" t="n"/>
      <c r="I758" s="37">
        <f>IF(B758="","",DATE(YEAR(B758),MONTH(B758),1))</f>
        <v/>
      </c>
    </row>
    <row r="759">
      <c r="B759" s="35" t="n"/>
      <c r="C759" s="32" t="n"/>
      <c r="D759" s="32" t="n"/>
      <c r="E759" s="32" t="n"/>
      <c r="F759" s="36" t="n"/>
      <c r="G759" s="32" t="n"/>
      <c r="H759" s="32" t="n"/>
      <c r="I759" s="37">
        <f>IF(B759="","",DATE(YEAR(B759),MONTH(B759),1))</f>
        <v/>
      </c>
    </row>
    <row r="760">
      <c r="B760" s="35" t="n"/>
      <c r="C760" s="32" t="n"/>
      <c r="D760" s="32" t="n"/>
      <c r="E760" s="32" t="n"/>
      <c r="F760" s="36" t="n"/>
      <c r="G760" s="32" t="n"/>
      <c r="H760" s="32" t="n"/>
      <c r="I760" s="37">
        <f>IF(B760="","",DATE(YEAR(B760),MONTH(B760),1))</f>
        <v/>
      </c>
    </row>
    <row r="761">
      <c r="B761" s="35" t="n"/>
      <c r="C761" s="32" t="n"/>
      <c r="D761" s="32" t="n"/>
      <c r="E761" s="32" t="n"/>
      <c r="F761" s="36" t="n"/>
      <c r="G761" s="32" t="n"/>
      <c r="H761" s="32" t="n"/>
      <c r="I761" s="37">
        <f>IF(B761="","",DATE(YEAR(B761),MONTH(B761),1))</f>
        <v/>
      </c>
    </row>
    <row r="762">
      <c r="B762" s="35" t="n"/>
      <c r="C762" s="32" t="n"/>
      <c r="D762" s="32" t="n"/>
      <c r="E762" s="32" t="n"/>
      <c r="F762" s="36" t="n"/>
      <c r="G762" s="32" t="n"/>
      <c r="H762" s="32" t="n"/>
      <c r="I762" s="37">
        <f>IF(B762="","",DATE(YEAR(B762),MONTH(B762),1))</f>
        <v/>
      </c>
    </row>
    <row r="763">
      <c r="B763" s="35" t="n"/>
      <c r="C763" s="32" t="n"/>
      <c r="D763" s="32" t="n"/>
      <c r="E763" s="32" t="n"/>
      <c r="F763" s="36" t="n"/>
      <c r="G763" s="32" t="n"/>
      <c r="H763" s="32" t="n"/>
      <c r="I763" s="37">
        <f>IF(B763="","",DATE(YEAR(B763),MONTH(B763),1))</f>
        <v/>
      </c>
    </row>
    <row r="764">
      <c r="B764" s="35" t="n"/>
      <c r="C764" s="32" t="n"/>
      <c r="D764" s="32" t="n"/>
      <c r="E764" s="32" t="n"/>
      <c r="F764" s="36" t="n"/>
      <c r="G764" s="32" t="n"/>
      <c r="H764" s="32" t="n"/>
      <c r="I764" s="37">
        <f>IF(B764="","",DATE(YEAR(B764),MONTH(B764),1))</f>
        <v/>
      </c>
    </row>
    <row r="765">
      <c r="B765" s="35" t="n"/>
      <c r="C765" s="32" t="n"/>
      <c r="D765" s="32" t="n"/>
      <c r="E765" s="32" t="n"/>
      <c r="F765" s="36" t="n"/>
      <c r="G765" s="32" t="n"/>
      <c r="H765" s="32" t="n"/>
      <c r="I765" s="37">
        <f>IF(B765="","",DATE(YEAR(B765),MONTH(B765),1))</f>
        <v/>
      </c>
    </row>
    <row r="766">
      <c r="B766" s="35" t="n"/>
      <c r="C766" s="32" t="n"/>
      <c r="D766" s="32" t="n"/>
      <c r="E766" s="32" t="n"/>
      <c r="F766" s="36" t="n"/>
      <c r="G766" s="32" t="n"/>
      <c r="H766" s="32" t="n"/>
      <c r="I766" s="37">
        <f>IF(B766="","",DATE(YEAR(B766),MONTH(B766),1))</f>
        <v/>
      </c>
    </row>
    <row r="767">
      <c r="B767" s="35" t="n"/>
      <c r="C767" s="32" t="n"/>
      <c r="D767" s="32" t="n"/>
      <c r="E767" s="32" t="n"/>
      <c r="F767" s="36" t="n"/>
      <c r="G767" s="32" t="n"/>
      <c r="H767" s="32" t="n"/>
      <c r="I767" s="37">
        <f>IF(B767="","",DATE(YEAR(B767),MONTH(B767),1))</f>
        <v/>
      </c>
    </row>
    <row r="768">
      <c r="B768" s="35" t="n"/>
      <c r="C768" s="32" t="n"/>
      <c r="D768" s="32" t="n"/>
      <c r="E768" s="32" t="n"/>
      <c r="F768" s="36" t="n"/>
      <c r="G768" s="32" t="n"/>
      <c r="H768" s="32" t="n"/>
      <c r="I768" s="37">
        <f>IF(B768="","",DATE(YEAR(B768),MONTH(B768),1))</f>
        <v/>
      </c>
    </row>
    <row r="769">
      <c r="B769" s="35" t="n"/>
      <c r="C769" s="32" t="n"/>
      <c r="D769" s="32" t="n"/>
      <c r="E769" s="32" t="n"/>
      <c r="F769" s="36" t="n"/>
      <c r="G769" s="32" t="n"/>
      <c r="H769" s="32" t="n"/>
      <c r="I769" s="37">
        <f>IF(B769="","",DATE(YEAR(B769),MONTH(B769),1))</f>
        <v/>
      </c>
    </row>
    <row r="770">
      <c r="B770" s="35" t="n"/>
      <c r="C770" s="32" t="n"/>
      <c r="D770" s="32" t="n"/>
      <c r="E770" s="32" t="n"/>
      <c r="F770" s="36" t="n"/>
      <c r="G770" s="32" t="n"/>
      <c r="H770" s="32" t="n"/>
      <c r="I770" s="37">
        <f>IF(B770="","",DATE(YEAR(B770),MONTH(B770),1))</f>
        <v/>
      </c>
    </row>
    <row r="771">
      <c r="B771" s="35" t="n"/>
      <c r="C771" s="32" t="n"/>
      <c r="D771" s="32" t="n"/>
      <c r="E771" s="32" t="n"/>
      <c r="F771" s="36" t="n"/>
      <c r="G771" s="32" t="n"/>
      <c r="H771" s="32" t="n"/>
      <c r="I771" s="37">
        <f>IF(B771="","",DATE(YEAR(B771),MONTH(B771),1))</f>
        <v/>
      </c>
    </row>
    <row r="772">
      <c r="B772" s="35" t="n"/>
      <c r="C772" s="32" t="n"/>
      <c r="D772" s="32" t="n"/>
      <c r="E772" s="32" t="n"/>
      <c r="F772" s="36" t="n"/>
      <c r="G772" s="32" t="n"/>
      <c r="H772" s="32" t="n"/>
      <c r="I772" s="37">
        <f>IF(B772="","",DATE(YEAR(B772),MONTH(B772),1))</f>
        <v/>
      </c>
    </row>
    <row r="773">
      <c r="B773" s="35" t="n"/>
      <c r="C773" s="32" t="n"/>
      <c r="D773" s="32" t="n"/>
      <c r="E773" s="32" t="n"/>
      <c r="F773" s="36" t="n"/>
      <c r="G773" s="32" t="n"/>
      <c r="H773" s="32" t="n"/>
      <c r="I773" s="37">
        <f>IF(B773="","",DATE(YEAR(B773),MONTH(B773),1))</f>
        <v/>
      </c>
    </row>
    <row r="774">
      <c r="B774" s="35" t="n"/>
      <c r="C774" s="32" t="n"/>
      <c r="D774" s="32" t="n"/>
      <c r="E774" s="32" t="n"/>
      <c r="F774" s="36" t="n"/>
      <c r="G774" s="32" t="n"/>
      <c r="H774" s="32" t="n"/>
      <c r="I774" s="37">
        <f>IF(B774="","",DATE(YEAR(B774),MONTH(B774),1))</f>
        <v/>
      </c>
    </row>
    <row r="775">
      <c r="B775" s="35" t="n"/>
      <c r="C775" s="32" t="n"/>
      <c r="D775" s="32" t="n"/>
      <c r="E775" s="32" t="n"/>
      <c r="F775" s="36" t="n"/>
      <c r="G775" s="32" t="n"/>
      <c r="H775" s="32" t="n"/>
      <c r="I775" s="37">
        <f>IF(B775="","",DATE(YEAR(B775),MONTH(B775),1))</f>
        <v/>
      </c>
    </row>
    <row r="776">
      <c r="B776" s="35" t="n"/>
      <c r="C776" s="32" t="n"/>
      <c r="D776" s="32" t="n"/>
      <c r="E776" s="32" t="n"/>
      <c r="F776" s="36" t="n"/>
      <c r="G776" s="32" t="n"/>
      <c r="H776" s="32" t="n"/>
      <c r="I776" s="37">
        <f>IF(B776="","",DATE(YEAR(B776),MONTH(B776),1))</f>
        <v/>
      </c>
    </row>
    <row r="777">
      <c r="B777" s="35" t="n"/>
      <c r="C777" s="32" t="n"/>
      <c r="D777" s="32" t="n"/>
      <c r="E777" s="32" t="n"/>
      <c r="F777" s="36" t="n"/>
      <c r="G777" s="32" t="n"/>
      <c r="H777" s="32" t="n"/>
      <c r="I777" s="37">
        <f>IF(B777="","",DATE(YEAR(B777),MONTH(B777),1))</f>
        <v/>
      </c>
    </row>
    <row r="778">
      <c r="B778" s="35" t="n"/>
      <c r="C778" s="32" t="n"/>
      <c r="D778" s="32" t="n"/>
      <c r="E778" s="32" t="n"/>
      <c r="F778" s="36" t="n"/>
      <c r="G778" s="32" t="n"/>
      <c r="H778" s="32" t="n"/>
      <c r="I778" s="37">
        <f>IF(B778="","",DATE(YEAR(B778),MONTH(B778),1))</f>
        <v/>
      </c>
    </row>
    <row r="779">
      <c r="B779" s="35" t="n"/>
      <c r="C779" s="32" t="n"/>
      <c r="D779" s="32" t="n"/>
      <c r="E779" s="32" t="n"/>
      <c r="F779" s="36" t="n"/>
      <c r="G779" s="32" t="n"/>
      <c r="H779" s="32" t="n"/>
      <c r="I779" s="37">
        <f>IF(B779="","",DATE(YEAR(B779),MONTH(B779),1))</f>
        <v/>
      </c>
    </row>
    <row r="780">
      <c r="B780" s="35" t="n"/>
      <c r="C780" s="32" t="n"/>
      <c r="D780" s="32" t="n"/>
      <c r="E780" s="32" t="n"/>
      <c r="F780" s="36" t="n"/>
      <c r="G780" s="32" t="n"/>
      <c r="H780" s="32" t="n"/>
      <c r="I780" s="37">
        <f>IF(B780="","",DATE(YEAR(B780),MONTH(B780),1))</f>
        <v/>
      </c>
    </row>
    <row r="781">
      <c r="B781" s="35" t="n"/>
      <c r="C781" s="32" t="n"/>
      <c r="D781" s="32" t="n"/>
      <c r="E781" s="32" t="n"/>
      <c r="F781" s="36" t="n"/>
      <c r="G781" s="32" t="n"/>
      <c r="H781" s="32" t="n"/>
      <c r="I781" s="37">
        <f>IF(B781="","",DATE(YEAR(B781),MONTH(B781),1))</f>
        <v/>
      </c>
    </row>
    <row r="782">
      <c r="B782" s="35" t="n"/>
      <c r="C782" s="32" t="n"/>
      <c r="D782" s="32" t="n"/>
      <c r="E782" s="32" t="n"/>
      <c r="F782" s="36" t="n"/>
      <c r="G782" s="32" t="n"/>
      <c r="H782" s="32" t="n"/>
      <c r="I782" s="37">
        <f>IF(B782="","",DATE(YEAR(B782),MONTH(B782),1))</f>
        <v/>
      </c>
    </row>
    <row r="783">
      <c r="B783" s="35" t="n"/>
      <c r="C783" s="32" t="n"/>
      <c r="D783" s="32" t="n"/>
      <c r="E783" s="32" t="n"/>
      <c r="F783" s="36" t="n"/>
      <c r="G783" s="32" t="n"/>
      <c r="H783" s="32" t="n"/>
      <c r="I783" s="37">
        <f>IF(B783="","",DATE(YEAR(B783),MONTH(B783),1))</f>
        <v/>
      </c>
    </row>
    <row r="784">
      <c r="B784" s="35" t="n"/>
      <c r="C784" s="32" t="n"/>
      <c r="D784" s="32" t="n"/>
      <c r="E784" s="32" t="n"/>
      <c r="F784" s="36" t="n"/>
      <c r="G784" s="32" t="n"/>
      <c r="H784" s="32" t="n"/>
      <c r="I784" s="37">
        <f>IF(B784="","",DATE(YEAR(B784),MONTH(B784),1))</f>
        <v/>
      </c>
    </row>
    <row r="785">
      <c r="B785" s="35" t="n"/>
      <c r="C785" s="32" t="n"/>
      <c r="D785" s="32" t="n"/>
      <c r="E785" s="32" t="n"/>
      <c r="F785" s="36" t="n"/>
      <c r="G785" s="32" t="n"/>
      <c r="H785" s="32" t="n"/>
      <c r="I785" s="37">
        <f>IF(B785="","",DATE(YEAR(B785),MONTH(B785),1))</f>
        <v/>
      </c>
    </row>
    <row r="786">
      <c r="B786" s="35" t="n"/>
      <c r="C786" s="32" t="n"/>
      <c r="D786" s="32" t="n"/>
      <c r="E786" s="32" t="n"/>
      <c r="F786" s="36" t="n"/>
      <c r="G786" s="32" t="n"/>
      <c r="H786" s="32" t="n"/>
      <c r="I786" s="37">
        <f>IF(B786="","",DATE(YEAR(B786),MONTH(B786),1))</f>
        <v/>
      </c>
    </row>
    <row r="787">
      <c r="B787" s="35" t="n"/>
      <c r="C787" s="32" t="n"/>
      <c r="D787" s="32" t="n"/>
      <c r="E787" s="32" t="n"/>
      <c r="F787" s="36" t="n"/>
      <c r="G787" s="32" t="n"/>
      <c r="H787" s="32" t="n"/>
      <c r="I787" s="37">
        <f>IF(B787="","",DATE(YEAR(B787),MONTH(B787),1))</f>
        <v/>
      </c>
    </row>
    <row r="788">
      <c r="B788" s="35" t="n"/>
      <c r="C788" s="32" t="n"/>
      <c r="D788" s="32" t="n"/>
      <c r="E788" s="32" t="n"/>
      <c r="F788" s="36" t="n"/>
      <c r="G788" s="32" t="n"/>
      <c r="H788" s="32" t="n"/>
      <c r="I788" s="37">
        <f>IF(B788="","",DATE(YEAR(B788),MONTH(B788),1))</f>
        <v/>
      </c>
    </row>
    <row r="789">
      <c r="B789" s="35" t="n"/>
      <c r="C789" s="32" t="n"/>
      <c r="D789" s="32" t="n"/>
      <c r="E789" s="32" t="n"/>
      <c r="F789" s="36" t="n"/>
      <c r="G789" s="32" t="n"/>
      <c r="H789" s="32" t="n"/>
      <c r="I789" s="37">
        <f>IF(B789="","",DATE(YEAR(B789),MONTH(B789),1))</f>
        <v/>
      </c>
    </row>
    <row r="790">
      <c r="B790" s="35" t="n"/>
      <c r="C790" s="32" t="n"/>
      <c r="D790" s="32" t="n"/>
      <c r="E790" s="32" t="n"/>
      <c r="F790" s="36" t="n"/>
      <c r="G790" s="32" t="n"/>
      <c r="H790" s="32" t="n"/>
      <c r="I790" s="37">
        <f>IF(B790="","",DATE(YEAR(B790),MONTH(B790),1))</f>
        <v/>
      </c>
    </row>
    <row r="791">
      <c r="B791" s="35" t="n"/>
      <c r="C791" s="32" t="n"/>
      <c r="D791" s="32" t="n"/>
      <c r="E791" s="32" t="n"/>
      <c r="F791" s="36" t="n"/>
      <c r="G791" s="32" t="n"/>
      <c r="H791" s="32" t="n"/>
      <c r="I791" s="37">
        <f>IF(B791="","",DATE(YEAR(B791),MONTH(B791),1))</f>
        <v/>
      </c>
    </row>
    <row r="792">
      <c r="B792" s="35" t="n"/>
      <c r="C792" s="32" t="n"/>
      <c r="D792" s="32" t="n"/>
      <c r="E792" s="32" t="n"/>
      <c r="F792" s="36" t="n"/>
      <c r="G792" s="32" t="n"/>
      <c r="H792" s="32" t="n"/>
      <c r="I792" s="37">
        <f>IF(B792="","",DATE(YEAR(B792),MONTH(B792),1))</f>
        <v/>
      </c>
    </row>
    <row r="793">
      <c r="B793" s="35" t="n"/>
      <c r="C793" s="32" t="n"/>
      <c r="D793" s="32" t="n"/>
      <c r="E793" s="32" t="n"/>
      <c r="F793" s="36" t="n"/>
      <c r="G793" s="32" t="n"/>
      <c r="H793" s="32" t="n"/>
      <c r="I793" s="37">
        <f>IF(B793="","",DATE(YEAR(B793),MONTH(B793),1))</f>
        <v/>
      </c>
    </row>
    <row r="794">
      <c r="B794" s="35" t="n"/>
      <c r="C794" s="32" t="n"/>
      <c r="D794" s="32" t="n"/>
      <c r="E794" s="32" t="n"/>
      <c r="F794" s="36" t="n"/>
      <c r="G794" s="32" t="n"/>
      <c r="H794" s="32" t="n"/>
      <c r="I794" s="37">
        <f>IF(B794="","",DATE(YEAR(B794),MONTH(B794),1))</f>
        <v/>
      </c>
    </row>
    <row r="795">
      <c r="B795" s="35" t="n"/>
      <c r="C795" s="32" t="n"/>
      <c r="D795" s="32" t="n"/>
      <c r="E795" s="32" t="n"/>
      <c r="F795" s="36" t="n"/>
      <c r="G795" s="32" t="n"/>
      <c r="H795" s="32" t="n"/>
      <c r="I795" s="37">
        <f>IF(B795="","",DATE(YEAR(B795),MONTH(B795),1))</f>
        <v/>
      </c>
    </row>
    <row r="796">
      <c r="B796" s="35" t="n"/>
      <c r="C796" s="32" t="n"/>
      <c r="D796" s="32" t="n"/>
      <c r="E796" s="32" t="n"/>
      <c r="F796" s="36" t="n"/>
      <c r="G796" s="32" t="n"/>
      <c r="H796" s="32" t="n"/>
      <c r="I796" s="37">
        <f>IF(B796="","",DATE(YEAR(B796),MONTH(B796),1))</f>
        <v/>
      </c>
    </row>
    <row r="797">
      <c r="B797" s="35" t="n"/>
      <c r="C797" s="32" t="n"/>
      <c r="D797" s="32" t="n"/>
      <c r="E797" s="32" t="n"/>
      <c r="F797" s="36" t="n"/>
      <c r="G797" s="32" t="n"/>
      <c r="H797" s="32" t="n"/>
      <c r="I797" s="37">
        <f>IF(B797="","",DATE(YEAR(B797),MONTH(B797),1))</f>
        <v/>
      </c>
    </row>
    <row r="798">
      <c r="B798" s="35" t="n"/>
      <c r="C798" s="32" t="n"/>
      <c r="D798" s="32" t="n"/>
      <c r="E798" s="32" t="n"/>
      <c r="F798" s="36" t="n"/>
      <c r="G798" s="32" t="n"/>
      <c r="H798" s="32" t="n"/>
      <c r="I798" s="37">
        <f>IF(B798="","",DATE(YEAR(B798),MONTH(B798),1))</f>
        <v/>
      </c>
    </row>
    <row r="799">
      <c r="B799" s="35" t="n"/>
      <c r="C799" s="32" t="n"/>
      <c r="D799" s="32" t="n"/>
      <c r="E799" s="32" t="n"/>
      <c r="F799" s="36" t="n"/>
      <c r="G799" s="32" t="n"/>
      <c r="H799" s="32" t="n"/>
      <c r="I799" s="37">
        <f>IF(B799="","",DATE(YEAR(B799),MONTH(B799),1))</f>
        <v/>
      </c>
    </row>
    <row r="800">
      <c r="B800" s="35" t="n"/>
      <c r="C800" s="32" t="n"/>
      <c r="D800" s="32" t="n"/>
      <c r="E800" s="32" t="n"/>
      <c r="F800" s="36" t="n"/>
      <c r="G800" s="32" t="n"/>
      <c r="H800" s="32" t="n"/>
      <c r="I800" s="37">
        <f>IF(B800="","",DATE(YEAR(B800),MONTH(B800),1))</f>
        <v/>
      </c>
    </row>
    <row r="801">
      <c r="B801" s="35" t="n"/>
      <c r="C801" s="32" t="n"/>
      <c r="D801" s="32" t="n"/>
      <c r="E801" s="32" t="n"/>
      <c r="F801" s="36" t="n"/>
      <c r="G801" s="32" t="n"/>
      <c r="H801" s="32" t="n"/>
      <c r="I801" s="37">
        <f>IF(B801="","",DATE(YEAR(B801),MONTH(B801),1))</f>
        <v/>
      </c>
    </row>
    <row r="802">
      <c r="B802" s="35" t="n"/>
      <c r="C802" s="32" t="n"/>
      <c r="D802" s="32" t="n"/>
      <c r="E802" s="32" t="n"/>
      <c r="F802" s="36" t="n"/>
      <c r="G802" s="32" t="n"/>
      <c r="H802" s="32" t="n"/>
      <c r="I802" s="37">
        <f>IF(B802="","",DATE(YEAR(B802),MONTH(B802),1))</f>
        <v/>
      </c>
    </row>
    <row r="803">
      <c r="B803" s="35" t="n"/>
      <c r="C803" s="32" t="n"/>
      <c r="D803" s="32" t="n"/>
      <c r="E803" s="32" t="n"/>
      <c r="F803" s="36" t="n"/>
      <c r="G803" s="32" t="n"/>
      <c r="H803" s="32" t="n"/>
      <c r="I803" s="37">
        <f>IF(B803="","",DATE(YEAR(B803),MONTH(B803),1))</f>
        <v/>
      </c>
    </row>
    <row r="804">
      <c r="B804" s="35" t="n"/>
      <c r="C804" s="32" t="n"/>
      <c r="D804" s="32" t="n"/>
      <c r="E804" s="32" t="n"/>
      <c r="F804" s="36" t="n"/>
      <c r="G804" s="32" t="n"/>
      <c r="H804" s="32" t="n"/>
      <c r="I804" s="37">
        <f>IF(B804="","",DATE(YEAR(B804),MONTH(B804),1))</f>
        <v/>
      </c>
    </row>
    <row r="805">
      <c r="B805" s="35" t="n"/>
      <c r="C805" s="32" t="n"/>
      <c r="D805" s="32" t="n"/>
      <c r="E805" s="32" t="n"/>
      <c r="F805" s="36" t="n"/>
      <c r="G805" s="32" t="n"/>
      <c r="H805" s="32" t="n"/>
      <c r="I805" s="37">
        <f>IF(B805="","",DATE(YEAR(B805),MONTH(B805),1))</f>
        <v/>
      </c>
    </row>
    <row r="806">
      <c r="B806" s="35" t="n"/>
      <c r="C806" s="32" t="n"/>
      <c r="D806" s="32" t="n"/>
      <c r="E806" s="32" t="n"/>
      <c r="F806" s="36" t="n"/>
      <c r="G806" s="32" t="n"/>
      <c r="H806" s="32" t="n"/>
      <c r="I806" s="37">
        <f>IF(B806="","",DATE(YEAR(B806),MONTH(B806),1))</f>
        <v/>
      </c>
    </row>
    <row r="807">
      <c r="B807" s="35" t="n"/>
      <c r="C807" s="32" t="n"/>
      <c r="D807" s="32" t="n"/>
      <c r="E807" s="32" t="n"/>
      <c r="F807" s="36" t="n"/>
      <c r="G807" s="32" t="n"/>
      <c r="H807" s="32" t="n"/>
      <c r="I807" s="37">
        <f>IF(B807="","",DATE(YEAR(B807),MONTH(B807),1))</f>
        <v/>
      </c>
    </row>
    <row r="808">
      <c r="B808" s="35" t="n"/>
      <c r="C808" s="32" t="n"/>
      <c r="D808" s="32" t="n"/>
      <c r="E808" s="32" t="n"/>
      <c r="F808" s="36" t="n"/>
      <c r="G808" s="32" t="n"/>
      <c r="H808" s="32" t="n"/>
      <c r="I808" s="37">
        <f>IF(B808="","",DATE(YEAR(B808),MONTH(B808),1))</f>
        <v/>
      </c>
    </row>
    <row r="809">
      <c r="B809" s="35" t="n"/>
      <c r="C809" s="32" t="n"/>
      <c r="D809" s="32" t="n"/>
      <c r="E809" s="32" t="n"/>
      <c r="F809" s="36" t="n"/>
      <c r="G809" s="32" t="n"/>
      <c r="H809" s="32" t="n"/>
      <c r="I809" s="37">
        <f>IF(B809="","",DATE(YEAR(B809),MONTH(B809),1))</f>
        <v/>
      </c>
    </row>
    <row r="810">
      <c r="B810" s="35" t="n"/>
      <c r="C810" s="32" t="n"/>
      <c r="D810" s="32" t="n"/>
      <c r="E810" s="32" t="n"/>
      <c r="F810" s="36" t="n"/>
      <c r="G810" s="32" t="n"/>
      <c r="H810" s="32" t="n"/>
      <c r="I810" s="37">
        <f>IF(B810="","",DATE(YEAR(B810),MONTH(B810),1))</f>
        <v/>
      </c>
    </row>
    <row r="811">
      <c r="B811" s="35" t="n"/>
      <c r="C811" s="32" t="n"/>
      <c r="D811" s="32" t="n"/>
      <c r="E811" s="32" t="n"/>
      <c r="F811" s="36" t="n"/>
      <c r="G811" s="32" t="n"/>
      <c r="H811" s="32" t="n"/>
      <c r="I811" s="37">
        <f>IF(B811="","",DATE(YEAR(B811),MONTH(B811),1))</f>
        <v/>
      </c>
    </row>
    <row r="812">
      <c r="B812" s="35" t="n"/>
      <c r="C812" s="32" t="n"/>
      <c r="D812" s="32" t="n"/>
      <c r="E812" s="32" t="n"/>
      <c r="F812" s="36" t="n"/>
      <c r="G812" s="32" t="n"/>
      <c r="H812" s="32" t="n"/>
      <c r="I812" s="37">
        <f>IF(B812="","",DATE(YEAR(B812),MONTH(B812),1))</f>
        <v/>
      </c>
    </row>
    <row r="813">
      <c r="B813" s="35" t="n"/>
      <c r="C813" s="32" t="n"/>
      <c r="D813" s="32" t="n"/>
      <c r="E813" s="32" t="n"/>
      <c r="F813" s="36" t="n"/>
      <c r="G813" s="32" t="n"/>
      <c r="H813" s="32" t="n"/>
      <c r="I813" s="37">
        <f>IF(B813="","",DATE(YEAR(B813),MONTH(B813),1))</f>
        <v/>
      </c>
    </row>
    <row r="814">
      <c r="B814" s="35" t="n"/>
      <c r="C814" s="32" t="n"/>
      <c r="D814" s="32" t="n"/>
      <c r="E814" s="32" t="n"/>
      <c r="F814" s="36" t="n"/>
      <c r="G814" s="32" t="n"/>
      <c r="H814" s="32" t="n"/>
      <c r="I814" s="37">
        <f>IF(B814="","",DATE(YEAR(B814),MONTH(B814),1))</f>
        <v/>
      </c>
    </row>
    <row r="815">
      <c r="B815" s="35" t="n"/>
      <c r="C815" s="32" t="n"/>
      <c r="D815" s="32" t="n"/>
      <c r="E815" s="32" t="n"/>
      <c r="F815" s="36" t="n"/>
      <c r="G815" s="32" t="n"/>
      <c r="H815" s="32" t="n"/>
      <c r="I815" s="37">
        <f>IF(B815="","",DATE(YEAR(B815),MONTH(B815),1))</f>
        <v/>
      </c>
    </row>
    <row r="816">
      <c r="B816" s="35" t="n"/>
      <c r="C816" s="32" t="n"/>
      <c r="D816" s="32" t="n"/>
      <c r="E816" s="32" t="n"/>
      <c r="F816" s="36" t="n"/>
      <c r="G816" s="32" t="n"/>
      <c r="H816" s="32" t="n"/>
      <c r="I816" s="37">
        <f>IF(B816="","",DATE(YEAR(B816),MONTH(B816),1))</f>
        <v/>
      </c>
    </row>
    <row r="817">
      <c r="B817" s="35" t="n"/>
      <c r="C817" s="32" t="n"/>
      <c r="D817" s="32" t="n"/>
      <c r="E817" s="32" t="n"/>
      <c r="F817" s="36" t="n"/>
      <c r="G817" s="32" t="n"/>
      <c r="H817" s="32" t="n"/>
      <c r="I817" s="37">
        <f>IF(B817="","",DATE(YEAR(B817),MONTH(B817),1))</f>
        <v/>
      </c>
    </row>
    <row r="818">
      <c r="B818" s="35" t="n"/>
      <c r="C818" s="32" t="n"/>
      <c r="D818" s="32" t="n"/>
      <c r="E818" s="32" t="n"/>
      <c r="F818" s="36" t="n"/>
      <c r="G818" s="32" t="n"/>
      <c r="H818" s="32" t="n"/>
      <c r="I818" s="37">
        <f>IF(B818="","",DATE(YEAR(B818),MONTH(B818),1))</f>
        <v/>
      </c>
    </row>
    <row r="819">
      <c r="B819" s="35" t="n"/>
      <c r="C819" s="32" t="n"/>
      <c r="D819" s="32" t="n"/>
      <c r="E819" s="32" t="n"/>
      <c r="F819" s="36" t="n"/>
      <c r="G819" s="32" t="n"/>
      <c r="H819" s="32" t="n"/>
      <c r="I819" s="37">
        <f>IF(B819="","",DATE(YEAR(B819),MONTH(B819),1))</f>
        <v/>
      </c>
    </row>
    <row r="820">
      <c r="B820" s="35" t="n"/>
      <c r="C820" s="32" t="n"/>
      <c r="D820" s="32" t="n"/>
      <c r="E820" s="32" t="n"/>
      <c r="F820" s="36" t="n"/>
      <c r="G820" s="32" t="n"/>
      <c r="H820" s="32" t="n"/>
      <c r="I820" s="37">
        <f>IF(B820="","",DATE(YEAR(B820),MONTH(B820),1))</f>
        <v/>
      </c>
    </row>
    <row r="821">
      <c r="B821" s="35" t="n"/>
      <c r="C821" s="32" t="n"/>
      <c r="D821" s="32" t="n"/>
      <c r="E821" s="32" t="n"/>
      <c r="F821" s="36" t="n"/>
      <c r="G821" s="32" t="n"/>
      <c r="H821" s="32" t="n"/>
      <c r="I821" s="37">
        <f>IF(B821="","",DATE(YEAR(B821),MONTH(B821),1))</f>
        <v/>
      </c>
    </row>
    <row r="822">
      <c r="B822" s="35" t="n"/>
      <c r="C822" s="32" t="n"/>
      <c r="D822" s="32" t="n"/>
      <c r="E822" s="32" t="n"/>
      <c r="F822" s="36" t="n"/>
      <c r="G822" s="32" t="n"/>
      <c r="H822" s="32" t="n"/>
      <c r="I822" s="37">
        <f>IF(B822="","",DATE(YEAR(B822),MONTH(B822),1))</f>
        <v/>
      </c>
    </row>
    <row r="823">
      <c r="B823" s="35" t="n"/>
      <c r="C823" s="32" t="n"/>
      <c r="D823" s="32" t="n"/>
      <c r="E823" s="32" t="n"/>
      <c r="F823" s="36" t="n"/>
      <c r="G823" s="32" t="n"/>
      <c r="H823" s="32" t="n"/>
      <c r="I823" s="37">
        <f>IF(B823="","",DATE(YEAR(B823),MONTH(B823),1))</f>
        <v/>
      </c>
    </row>
    <row r="824">
      <c r="B824" s="35" t="n"/>
      <c r="C824" s="32" t="n"/>
      <c r="D824" s="32" t="n"/>
      <c r="E824" s="32" t="n"/>
      <c r="F824" s="36" t="n"/>
      <c r="G824" s="32" t="n"/>
      <c r="H824" s="32" t="n"/>
      <c r="I824" s="37">
        <f>IF(B824="","",DATE(YEAR(B824),MONTH(B824),1))</f>
        <v/>
      </c>
    </row>
    <row r="825">
      <c r="B825" s="35" t="n"/>
      <c r="C825" s="32" t="n"/>
      <c r="D825" s="32" t="n"/>
      <c r="E825" s="32" t="n"/>
      <c r="F825" s="36" t="n"/>
      <c r="G825" s="32" t="n"/>
      <c r="H825" s="32" t="n"/>
      <c r="I825" s="37">
        <f>IF(B825="","",DATE(YEAR(B825),MONTH(B825),1))</f>
        <v/>
      </c>
    </row>
    <row r="826">
      <c r="B826" s="35" t="n"/>
      <c r="C826" s="32" t="n"/>
      <c r="D826" s="32" t="n"/>
      <c r="E826" s="32" t="n"/>
      <c r="F826" s="36" t="n"/>
      <c r="G826" s="32" t="n"/>
      <c r="H826" s="32" t="n"/>
      <c r="I826" s="37">
        <f>IF(B826="","",DATE(YEAR(B826),MONTH(B826),1))</f>
        <v/>
      </c>
    </row>
    <row r="827">
      <c r="B827" s="35" t="n"/>
      <c r="C827" s="32" t="n"/>
      <c r="D827" s="32" t="n"/>
      <c r="E827" s="32" t="n"/>
      <c r="F827" s="36" t="n"/>
      <c r="G827" s="32" t="n"/>
      <c r="H827" s="32" t="n"/>
      <c r="I827" s="37">
        <f>IF(B827="","",DATE(YEAR(B827),MONTH(B827),1))</f>
        <v/>
      </c>
    </row>
    <row r="828">
      <c r="B828" s="35" t="n"/>
      <c r="C828" s="32" t="n"/>
      <c r="D828" s="32" t="n"/>
      <c r="E828" s="32" t="n"/>
      <c r="F828" s="36" t="n"/>
      <c r="G828" s="32" t="n"/>
      <c r="H828" s="32" t="n"/>
      <c r="I828" s="37">
        <f>IF(B828="","",DATE(YEAR(B828),MONTH(B828),1))</f>
        <v/>
      </c>
    </row>
    <row r="829">
      <c r="B829" s="35" t="n"/>
      <c r="C829" s="32" t="n"/>
      <c r="D829" s="32" t="n"/>
      <c r="E829" s="32" t="n"/>
      <c r="F829" s="36" t="n"/>
      <c r="G829" s="32" t="n"/>
      <c r="H829" s="32" t="n"/>
      <c r="I829" s="37">
        <f>IF(B829="","",DATE(YEAR(B829),MONTH(B829),1))</f>
        <v/>
      </c>
    </row>
    <row r="830">
      <c r="B830" s="35" t="n"/>
      <c r="C830" s="32" t="n"/>
      <c r="D830" s="32" t="n"/>
      <c r="E830" s="32" t="n"/>
      <c r="F830" s="36" t="n"/>
      <c r="G830" s="32" t="n"/>
      <c r="H830" s="32" t="n"/>
      <c r="I830" s="37">
        <f>IF(B830="","",DATE(YEAR(B830),MONTH(B830),1))</f>
        <v/>
      </c>
    </row>
    <row r="831">
      <c r="B831" s="35" t="n"/>
      <c r="C831" s="32" t="n"/>
      <c r="D831" s="32" t="n"/>
      <c r="E831" s="32" t="n"/>
      <c r="F831" s="36" t="n"/>
      <c r="G831" s="32" t="n"/>
      <c r="H831" s="32" t="n"/>
      <c r="I831" s="37">
        <f>IF(B831="","",DATE(YEAR(B831),MONTH(B831),1))</f>
        <v/>
      </c>
    </row>
    <row r="832">
      <c r="B832" s="35" t="n"/>
      <c r="C832" s="32" t="n"/>
      <c r="D832" s="32" t="n"/>
      <c r="E832" s="32" t="n"/>
      <c r="F832" s="36" t="n"/>
      <c r="G832" s="32" t="n"/>
      <c r="H832" s="32" t="n"/>
      <c r="I832" s="37">
        <f>IF(B832="","",DATE(YEAR(B832),MONTH(B832),1))</f>
        <v/>
      </c>
    </row>
    <row r="833">
      <c r="B833" s="35" t="n"/>
      <c r="C833" s="32" t="n"/>
      <c r="D833" s="32" t="n"/>
      <c r="E833" s="32" t="n"/>
      <c r="F833" s="36" t="n"/>
      <c r="G833" s="32" t="n"/>
      <c r="H833" s="32" t="n"/>
      <c r="I833" s="37">
        <f>IF(B833="","",DATE(YEAR(B833),MONTH(B833),1))</f>
        <v/>
      </c>
    </row>
    <row r="834">
      <c r="B834" s="35" t="n"/>
      <c r="C834" s="32" t="n"/>
      <c r="D834" s="32" t="n"/>
      <c r="E834" s="32" t="n"/>
      <c r="F834" s="36" t="n"/>
      <c r="G834" s="32" t="n"/>
      <c r="H834" s="32" t="n"/>
      <c r="I834" s="37">
        <f>IF(B834="","",DATE(YEAR(B834),MONTH(B834),1))</f>
        <v/>
      </c>
    </row>
    <row r="835">
      <c r="B835" s="35" t="n"/>
      <c r="C835" s="32" t="n"/>
      <c r="D835" s="32" t="n"/>
      <c r="E835" s="32" t="n"/>
      <c r="F835" s="36" t="n"/>
      <c r="G835" s="32" t="n"/>
      <c r="H835" s="32" t="n"/>
      <c r="I835" s="37">
        <f>IF(B835="","",DATE(YEAR(B835),MONTH(B835),1))</f>
        <v/>
      </c>
    </row>
    <row r="836">
      <c r="B836" s="35" t="n"/>
      <c r="C836" s="32" t="n"/>
      <c r="D836" s="32" t="n"/>
      <c r="E836" s="32" t="n"/>
      <c r="F836" s="36" t="n"/>
      <c r="G836" s="32" t="n"/>
      <c r="H836" s="32" t="n"/>
      <c r="I836" s="37">
        <f>IF(B836="","",DATE(YEAR(B836),MONTH(B836),1))</f>
        <v/>
      </c>
    </row>
    <row r="837">
      <c r="B837" s="35" t="n"/>
      <c r="C837" s="32" t="n"/>
      <c r="D837" s="32" t="n"/>
      <c r="E837" s="32" t="n"/>
      <c r="F837" s="36" t="n"/>
      <c r="G837" s="32" t="n"/>
      <c r="H837" s="32" t="n"/>
      <c r="I837" s="37">
        <f>IF(B837="","",DATE(YEAR(B837),MONTH(B837),1))</f>
        <v/>
      </c>
    </row>
    <row r="838">
      <c r="B838" s="35" t="n"/>
      <c r="C838" s="32" t="n"/>
      <c r="D838" s="32" t="n"/>
      <c r="E838" s="32" t="n"/>
      <c r="F838" s="36" t="n"/>
      <c r="G838" s="32" t="n"/>
      <c r="H838" s="32" t="n"/>
      <c r="I838" s="37">
        <f>IF(B838="","",DATE(YEAR(B838),MONTH(B838),1))</f>
        <v/>
      </c>
    </row>
    <row r="839">
      <c r="B839" s="35" t="n"/>
      <c r="C839" s="32" t="n"/>
      <c r="D839" s="32" t="n"/>
      <c r="E839" s="32" t="n"/>
      <c r="F839" s="36" t="n"/>
      <c r="G839" s="32" t="n"/>
      <c r="H839" s="32" t="n"/>
      <c r="I839" s="37">
        <f>IF(B839="","",DATE(YEAR(B839),MONTH(B839),1))</f>
        <v/>
      </c>
    </row>
    <row r="840">
      <c r="B840" s="35" t="n"/>
      <c r="C840" s="32" t="n"/>
      <c r="D840" s="32" t="n"/>
      <c r="E840" s="32" t="n"/>
      <c r="F840" s="36" t="n"/>
      <c r="G840" s="32" t="n"/>
      <c r="H840" s="32" t="n"/>
      <c r="I840" s="37">
        <f>IF(B840="","",DATE(YEAR(B840),MONTH(B840),1))</f>
        <v/>
      </c>
    </row>
    <row r="841">
      <c r="B841" s="35" t="n"/>
      <c r="C841" s="32" t="n"/>
      <c r="D841" s="32" t="n"/>
      <c r="E841" s="32" t="n"/>
      <c r="F841" s="36" t="n"/>
      <c r="G841" s="32" t="n"/>
      <c r="H841" s="32" t="n"/>
      <c r="I841" s="37">
        <f>IF(B841="","",DATE(YEAR(B841),MONTH(B841),1))</f>
        <v/>
      </c>
    </row>
    <row r="842">
      <c r="B842" s="35" t="n"/>
      <c r="C842" s="32" t="n"/>
      <c r="D842" s="32" t="n"/>
      <c r="E842" s="32" t="n"/>
      <c r="F842" s="36" t="n"/>
      <c r="G842" s="32" t="n"/>
      <c r="H842" s="32" t="n"/>
      <c r="I842" s="37">
        <f>IF(B842="","",DATE(YEAR(B842),MONTH(B842),1))</f>
        <v/>
      </c>
    </row>
    <row r="843">
      <c r="B843" s="35" t="n"/>
      <c r="C843" s="32" t="n"/>
      <c r="D843" s="32" t="n"/>
      <c r="E843" s="32" t="n"/>
      <c r="F843" s="36" t="n"/>
      <c r="G843" s="32" t="n"/>
      <c r="H843" s="32" t="n"/>
      <c r="I843" s="37">
        <f>IF(B843="","",DATE(YEAR(B843),MONTH(B843),1))</f>
        <v/>
      </c>
    </row>
    <row r="844">
      <c r="B844" s="35" t="n"/>
      <c r="C844" s="32" t="n"/>
      <c r="D844" s="32" t="n"/>
      <c r="E844" s="32" t="n"/>
      <c r="F844" s="36" t="n"/>
      <c r="G844" s="32" t="n"/>
      <c r="H844" s="32" t="n"/>
      <c r="I844" s="37">
        <f>IF(B844="","",DATE(YEAR(B844),MONTH(B844),1))</f>
        <v/>
      </c>
    </row>
    <row r="845">
      <c r="B845" s="35" t="n"/>
      <c r="C845" s="32" t="n"/>
      <c r="D845" s="32" t="n"/>
      <c r="E845" s="32" t="n"/>
      <c r="F845" s="36" t="n"/>
      <c r="G845" s="32" t="n"/>
      <c r="H845" s="32" t="n"/>
      <c r="I845" s="37">
        <f>IF(B845="","",DATE(YEAR(B845),MONTH(B845),1))</f>
        <v/>
      </c>
    </row>
    <row r="846">
      <c r="B846" s="35" t="n"/>
      <c r="C846" s="32" t="n"/>
      <c r="D846" s="32" t="n"/>
      <c r="E846" s="32" t="n"/>
      <c r="F846" s="36" t="n"/>
      <c r="G846" s="32" t="n"/>
      <c r="H846" s="32" t="n"/>
      <c r="I846" s="37">
        <f>IF(B846="","",DATE(YEAR(B846),MONTH(B846),1))</f>
        <v/>
      </c>
    </row>
    <row r="847">
      <c r="B847" s="35" t="n"/>
      <c r="C847" s="32" t="n"/>
      <c r="D847" s="32" t="n"/>
      <c r="E847" s="32" t="n"/>
      <c r="F847" s="36" t="n"/>
      <c r="G847" s="32" t="n"/>
      <c r="H847" s="32" t="n"/>
      <c r="I847" s="37">
        <f>IF(B847="","",DATE(YEAR(B847),MONTH(B847),1))</f>
        <v/>
      </c>
    </row>
    <row r="848">
      <c r="B848" s="35" t="n"/>
      <c r="C848" s="32" t="n"/>
      <c r="D848" s="32" t="n"/>
      <c r="E848" s="32" t="n"/>
      <c r="F848" s="36" t="n"/>
      <c r="G848" s="32" t="n"/>
      <c r="H848" s="32" t="n"/>
      <c r="I848" s="37">
        <f>IF(B848="","",DATE(YEAR(B848),MONTH(B848),1))</f>
        <v/>
      </c>
    </row>
    <row r="849">
      <c r="B849" s="35" t="n"/>
      <c r="C849" s="32" t="n"/>
      <c r="D849" s="32" t="n"/>
      <c r="E849" s="32" t="n"/>
      <c r="F849" s="36" t="n"/>
      <c r="G849" s="32" t="n"/>
      <c r="H849" s="32" t="n"/>
      <c r="I849" s="37">
        <f>IF(B849="","",DATE(YEAR(B849),MONTH(B849),1))</f>
        <v/>
      </c>
    </row>
    <row r="850">
      <c r="B850" s="35" t="n"/>
      <c r="C850" s="32" t="n"/>
      <c r="D850" s="32" t="n"/>
      <c r="E850" s="32" t="n"/>
      <c r="F850" s="36" t="n"/>
      <c r="G850" s="32" t="n"/>
      <c r="H850" s="32" t="n"/>
      <c r="I850" s="37">
        <f>IF(B850="","",DATE(YEAR(B850),MONTH(B850),1))</f>
        <v/>
      </c>
    </row>
    <row r="851">
      <c r="B851" s="35" t="n"/>
      <c r="C851" s="32" t="n"/>
      <c r="D851" s="32" t="n"/>
      <c r="E851" s="32" t="n"/>
      <c r="F851" s="36" t="n"/>
      <c r="G851" s="32" t="n"/>
      <c r="H851" s="32" t="n"/>
      <c r="I851" s="37">
        <f>IF(B851="","",DATE(YEAR(B851),MONTH(B851),1))</f>
        <v/>
      </c>
    </row>
    <row r="852">
      <c r="B852" s="35" t="n"/>
      <c r="C852" s="32" t="n"/>
      <c r="D852" s="32" t="n"/>
      <c r="E852" s="32" t="n"/>
      <c r="F852" s="36" t="n"/>
      <c r="G852" s="32" t="n"/>
      <c r="H852" s="32" t="n"/>
      <c r="I852" s="37">
        <f>IF(B852="","",DATE(YEAR(B852),MONTH(B852),1))</f>
        <v/>
      </c>
    </row>
    <row r="853">
      <c r="B853" s="35" t="n"/>
      <c r="C853" s="32" t="n"/>
      <c r="D853" s="32" t="n"/>
      <c r="E853" s="32" t="n"/>
      <c r="F853" s="36" t="n"/>
      <c r="G853" s="32" t="n"/>
      <c r="H853" s="32" t="n"/>
      <c r="I853" s="37">
        <f>IF(B853="","",DATE(YEAR(B853),MONTH(B853),1))</f>
        <v/>
      </c>
    </row>
    <row r="854">
      <c r="B854" s="35" t="n"/>
      <c r="C854" s="32" t="n"/>
      <c r="D854" s="32" t="n"/>
      <c r="E854" s="32" t="n"/>
      <c r="F854" s="36" t="n"/>
      <c r="G854" s="32" t="n"/>
      <c r="H854" s="32" t="n"/>
      <c r="I854" s="37">
        <f>IF(B854="","",DATE(YEAR(B854),MONTH(B854),1))</f>
        <v/>
      </c>
    </row>
    <row r="855">
      <c r="B855" s="35" t="n"/>
      <c r="C855" s="32" t="n"/>
      <c r="D855" s="32" t="n"/>
      <c r="E855" s="32" t="n"/>
      <c r="F855" s="36" t="n"/>
      <c r="G855" s="32" t="n"/>
      <c r="H855" s="32" t="n"/>
      <c r="I855" s="37">
        <f>IF(B855="","",DATE(YEAR(B855),MONTH(B855),1))</f>
        <v/>
      </c>
    </row>
    <row r="856">
      <c r="B856" s="35" t="n"/>
      <c r="C856" s="32" t="n"/>
      <c r="D856" s="32" t="n"/>
      <c r="E856" s="32" t="n"/>
      <c r="F856" s="36" t="n"/>
      <c r="G856" s="32" t="n"/>
      <c r="H856" s="32" t="n"/>
      <c r="I856" s="37">
        <f>IF(B856="","",DATE(YEAR(B856),MONTH(B856),1))</f>
        <v/>
      </c>
    </row>
    <row r="857">
      <c r="B857" s="35" t="n"/>
      <c r="C857" s="32" t="n"/>
      <c r="D857" s="32" t="n"/>
      <c r="E857" s="32" t="n"/>
      <c r="F857" s="36" t="n"/>
      <c r="G857" s="32" t="n"/>
      <c r="H857" s="32" t="n"/>
      <c r="I857" s="37">
        <f>IF(B857="","",DATE(YEAR(B857),MONTH(B857),1))</f>
        <v/>
      </c>
    </row>
    <row r="858">
      <c r="B858" s="35" t="n"/>
      <c r="C858" s="32" t="n"/>
      <c r="D858" s="32" t="n"/>
      <c r="E858" s="32" t="n"/>
      <c r="F858" s="36" t="n"/>
      <c r="G858" s="32" t="n"/>
      <c r="H858" s="32" t="n"/>
      <c r="I858" s="37">
        <f>IF(B858="","",DATE(YEAR(B858),MONTH(B858),1))</f>
        <v/>
      </c>
    </row>
    <row r="859">
      <c r="B859" s="35" t="n"/>
      <c r="C859" s="32" t="n"/>
      <c r="D859" s="32" t="n"/>
      <c r="E859" s="32" t="n"/>
      <c r="F859" s="36" t="n"/>
      <c r="G859" s="32" t="n"/>
      <c r="H859" s="32" t="n"/>
      <c r="I859" s="37">
        <f>IF(B859="","",DATE(YEAR(B859),MONTH(B859),1))</f>
        <v/>
      </c>
    </row>
    <row r="860">
      <c r="B860" s="35" t="n"/>
      <c r="C860" s="32" t="n"/>
      <c r="D860" s="32" t="n"/>
      <c r="E860" s="32" t="n"/>
      <c r="F860" s="36" t="n"/>
      <c r="G860" s="32" t="n"/>
      <c r="H860" s="32" t="n"/>
      <c r="I860" s="37">
        <f>IF(B860="","",DATE(YEAR(B860),MONTH(B860),1))</f>
        <v/>
      </c>
    </row>
    <row r="861">
      <c r="B861" s="35" t="n"/>
      <c r="C861" s="32" t="n"/>
      <c r="D861" s="32" t="n"/>
      <c r="E861" s="32" t="n"/>
      <c r="F861" s="36" t="n"/>
      <c r="G861" s="32" t="n"/>
      <c r="H861" s="32" t="n"/>
      <c r="I861" s="37">
        <f>IF(B861="","",DATE(YEAR(B861),MONTH(B861),1))</f>
        <v/>
      </c>
    </row>
    <row r="862">
      <c r="B862" s="35" t="n"/>
      <c r="C862" s="32" t="n"/>
      <c r="D862" s="32" t="n"/>
      <c r="E862" s="32" t="n"/>
      <c r="F862" s="36" t="n"/>
      <c r="G862" s="32" t="n"/>
      <c r="H862" s="32" t="n"/>
      <c r="I862" s="37">
        <f>IF(B862="","",DATE(YEAR(B862),MONTH(B862),1))</f>
        <v/>
      </c>
    </row>
    <row r="863">
      <c r="B863" s="35" t="n"/>
      <c r="C863" s="32" t="n"/>
      <c r="D863" s="32" t="n"/>
      <c r="E863" s="32" t="n"/>
      <c r="F863" s="36" t="n"/>
      <c r="G863" s="32" t="n"/>
      <c r="H863" s="32" t="n"/>
      <c r="I863" s="37">
        <f>IF(B863="","",DATE(YEAR(B863),MONTH(B863),1))</f>
        <v/>
      </c>
    </row>
    <row r="864">
      <c r="B864" s="35" t="n"/>
      <c r="C864" s="32" t="n"/>
      <c r="D864" s="32" t="n"/>
      <c r="E864" s="32" t="n"/>
      <c r="F864" s="36" t="n"/>
      <c r="G864" s="32" t="n"/>
      <c r="H864" s="32" t="n"/>
      <c r="I864" s="37">
        <f>IF(B864="","",DATE(YEAR(B864),MONTH(B864),1))</f>
        <v/>
      </c>
    </row>
    <row r="865">
      <c r="B865" s="35" t="n"/>
      <c r="C865" s="32" t="n"/>
      <c r="D865" s="32" t="n"/>
      <c r="E865" s="32" t="n"/>
      <c r="F865" s="36" t="n"/>
      <c r="G865" s="32" t="n"/>
      <c r="H865" s="32" t="n"/>
      <c r="I865" s="37">
        <f>IF(B865="","",DATE(YEAR(B865),MONTH(B865),1))</f>
        <v/>
      </c>
    </row>
    <row r="866">
      <c r="B866" s="35" t="n"/>
      <c r="C866" s="32" t="n"/>
      <c r="D866" s="32" t="n"/>
      <c r="E866" s="32" t="n"/>
      <c r="F866" s="36" t="n"/>
      <c r="G866" s="32" t="n"/>
      <c r="H866" s="32" t="n"/>
      <c r="I866" s="37">
        <f>IF(B866="","",DATE(YEAR(B866),MONTH(B866),1))</f>
        <v/>
      </c>
    </row>
    <row r="867">
      <c r="B867" s="35" t="n"/>
      <c r="C867" s="32" t="n"/>
      <c r="D867" s="32" t="n"/>
      <c r="E867" s="32" t="n"/>
      <c r="F867" s="36" t="n"/>
      <c r="G867" s="32" t="n"/>
      <c r="H867" s="32" t="n"/>
      <c r="I867" s="37">
        <f>IF(B867="","",DATE(YEAR(B867),MONTH(B867),1))</f>
        <v/>
      </c>
    </row>
    <row r="868">
      <c r="B868" s="35" t="n"/>
      <c r="C868" s="32" t="n"/>
      <c r="D868" s="32" t="n"/>
      <c r="E868" s="32" t="n"/>
      <c r="F868" s="36" t="n"/>
      <c r="G868" s="32" t="n"/>
      <c r="H868" s="32" t="n"/>
      <c r="I868" s="37">
        <f>IF(B868="","",DATE(YEAR(B868),MONTH(B868),1))</f>
        <v/>
      </c>
    </row>
    <row r="869">
      <c r="B869" s="35" t="n"/>
      <c r="C869" s="32" t="n"/>
      <c r="D869" s="32" t="n"/>
      <c r="E869" s="32" t="n"/>
      <c r="F869" s="36" t="n"/>
      <c r="G869" s="32" t="n"/>
      <c r="H869" s="32" t="n"/>
      <c r="I869" s="37">
        <f>IF(B869="","",DATE(YEAR(B869),MONTH(B869),1))</f>
        <v/>
      </c>
    </row>
    <row r="870">
      <c r="B870" s="35" t="n"/>
      <c r="C870" s="32" t="n"/>
      <c r="D870" s="32" t="n"/>
      <c r="E870" s="32" t="n"/>
      <c r="F870" s="36" t="n"/>
      <c r="G870" s="32" t="n"/>
      <c r="H870" s="32" t="n"/>
      <c r="I870" s="37">
        <f>IF(B870="","",DATE(YEAR(B870),MONTH(B870),1))</f>
        <v/>
      </c>
    </row>
    <row r="871">
      <c r="B871" s="35" t="n"/>
      <c r="C871" s="32" t="n"/>
      <c r="D871" s="32" t="n"/>
      <c r="E871" s="32" t="n"/>
      <c r="F871" s="36" t="n"/>
      <c r="G871" s="32" t="n"/>
      <c r="H871" s="32" t="n"/>
      <c r="I871" s="37">
        <f>IF(B871="","",DATE(YEAR(B871),MONTH(B871),1))</f>
        <v/>
      </c>
    </row>
    <row r="872">
      <c r="B872" s="35" t="n"/>
      <c r="C872" s="32" t="n"/>
      <c r="D872" s="32" t="n"/>
      <c r="E872" s="32" t="n"/>
      <c r="F872" s="36" t="n"/>
      <c r="G872" s="32" t="n"/>
      <c r="H872" s="32" t="n"/>
      <c r="I872" s="37">
        <f>IF(B872="","",DATE(YEAR(B872),MONTH(B872),1))</f>
        <v/>
      </c>
    </row>
    <row r="873">
      <c r="B873" s="35" t="n"/>
      <c r="C873" s="32" t="n"/>
      <c r="D873" s="32" t="n"/>
      <c r="E873" s="32" t="n"/>
      <c r="F873" s="36" t="n"/>
      <c r="G873" s="32" t="n"/>
      <c r="H873" s="32" t="n"/>
      <c r="I873" s="37">
        <f>IF(B873="","",DATE(YEAR(B873),MONTH(B873),1))</f>
        <v/>
      </c>
    </row>
    <row r="874">
      <c r="B874" s="35" t="n"/>
      <c r="C874" s="32" t="n"/>
      <c r="D874" s="32" t="n"/>
      <c r="E874" s="32" t="n"/>
      <c r="F874" s="36" t="n"/>
      <c r="G874" s="32" t="n"/>
      <c r="H874" s="32" t="n"/>
      <c r="I874" s="37">
        <f>IF(B874="","",DATE(YEAR(B874),MONTH(B874),1))</f>
        <v/>
      </c>
    </row>
    <row r="875">
      <c r="B875" s="35" t="n"/>
      <c r="C875" s="32" t="n"/>
      <c r="D875" s="32" t="n"/>
      <c r="E875" s="32" t="n"/>
      <c r="F875" s="36" t="n"/>
      <c r="G875" s="32" t="n"/>
      <c r="H875" s="32" t="n"/>
      <c r="I875" s="37">
        <f>IF(B875="","",DATE(YEAR(B875),MONTH(B875),1))</f>
        <v/>
      </c>
    </row>
    <row r="876">
      <c r="B876" s="35" t="n"/>
      <c r="C876" s="32" t="n"/>
      <c r="D876" s="32" t="n"/>
      <c r="E876" s="32" t="n"/>
      <c r="F876" s="36" t="n"/>
      <c r="G876" s="32" t="n"/>
      <c r="H876" s="32" t="n"/>
      <c r="I876" s="37">
        <f>IF(B876="","",DATE(YEAR(B876),MONTH(B876),1))</f>
        <v/>
      </c>
    </row>
    <row r="877">
      <c r="B877" s="35" t="n"/>
      <c r="C877" s="32" t="n"/>
      <c r="D877" s="32" t="n"/>
      <c r="E877" s="32" t="n"/>
      <c r="F877" s="36" t="n"/>
      <c r="G877" s="32" t="n"/>
      <c r="H877" s="32" t="n"/>
      <c r="I877" s="37">
        <f>IF(B877="","",DATE(YEAR(B877),MONTH(B877),1))</f>
        <v/>
      </c>
    </row>
    <row r="878">
      <c r="B878" s="35" t="n"/>
      <c r="C878" s="32" t="n"/>
      <c r="D878" s="32" t="n"/>
      <c r="E878" s="32" t="n"/>
      <c r="F878" s="36" t="n"/>
      <c r="G878" s="32" t="n"/>
      <c r="H878" s="32" t="n"/>
      <c r="I878" s="37">
        <f>IF(B878="","",DATE(YEAR(B878),MONTH(B878),1))</f>
        <v/>
      </c>
    </row>
    <row r="879">
      <c r="B879" s="35" t="n"/>
      <c r="C879" s="32" t="n"/>
      <c r="D879" s="32" t="n"/>
      <c r="E879" s="32" t="n"/>
      <c r="F879" s="36" t="n"/>
      <c r="G879" s="32" t="n"/>
      <c r="H879" s="32" t="n"/>
      <c r="I879" s="37">
        <f>IF(B879="","",DATE(YEAR(B879),MONTH(B879),1))</f>
        <v/>
      </c>
    </row>
    <row r="880">
      <c r="B880" s="35" t="n"/>
      <c r="C880" s="32" t="n"/>
      <c r="D880" s="32" t="n"/>
      <c r="E880" s="32" t="n"/>
      <c r="F880" s="36" t="n"/>
      <c r="G880" s="32" t="n"/>
      <c r="H880" s="32" t="n"/>
      <c r="I880" s="37">
        <f>IF(B880="","",DATE(YEAR(B880),MONTH(B880),1))</f>
        <v/>
      </c>
    </row>
    <row r="881">
      <c r="B881" s="35" t="n"/>
      <c r="C881" s="32" t="n"/>
      <c r="D881" s="32" t="n"/>
      <c r="E881" s="32" t="n"/>
      <c r="F881" s="36" t="n"/>
      <c r="G881" s="32" t="n"/>
      <c r="H881" s="32" t="n"/>
      <c r="I881" s="37">
        <f>IF(B881="","",DATE(YEAR(B881),MONTH(B881),1))</f>
        <v/>
      </c>
    </row>
    <row r="882">
      <c r="B882" s="35" t="n"/>
      <c r="C882" s="32" t="n"/>
      <c r="D882" s="32" t="n"/>
      <c r="E882" s="32" t="n"/>
      <c r="F882" s="36" t="n"/>
      <c r="G882" s="32" t="n"/>
      <c r="H882" s="32" t="n"/>
      <c r="I882" s="37">
        <f>IF(B882="","",DATE(YEAR(B882),MONTH(B882),1))</f>
        <v/>
      </c>
    </row>
    <row r="883">
      <c r="B883" s="35" t="n"/>
      <c r="C883" s="32" t="n"/>
      <c r="D883" s="32" t="n"/>
      <c r="E883" s="32" t="n"/>
      <c r="F883" s="36" t="n"/>
      <c r="G883" s="32" t="n"/>
      <c r="H883" s="32" t="n"/>
      <c r="I883" s="37">
        <f>IF(B883="","",DATE(YEAR(B883),MONTH(B883),1))</f>
        <v/>
      </c>
    </row>
    <row r="884">
      <c r="B884" s="35" t="n"/>
      <c r="C884" s="32" t="n"/>
      <c r="D884" s="32" t="n"/>
      <c r="E884" s="32" t="n"/>
      <c r="F884" s="36" t="n"/>
      <c r="G884" s="32" t="n"/>
      <c r="H884" s="32" t="n"/>
      <c r="I884" s="37">
        <f>IF(B884="","",DATE(YEAR(B884),MONTH(B884),1))</f>
        <v/>
      </c>
    </row>
    <row r="885">
      <c r="B885" s="35" t="n"/>
      <c r="C885" s="32" t="n"/>
      <c r="D885" s="32" t="n"/>
      <c r="E885" s="32" t="n"/>
      <c r="F885" s="36" t="n"/>
      <c r="G885" s="32" t="n"/>
      <c r="H885" s="32" t="n"/>
      <c r="I885" s="37">
        <f>IF(B885="","",DATE(YEAR(B885),MONTH(B885),1))</f>
        <v/>
      </c>
    </row>
    <row r="886">
      <c r="B886" s="35" t="n"/>
      <c r="C886" s="32" t="n"/>
      <c r="D886" s="32" t="n"/>
      <c r="E886" s="32" t="n"/>
      <c r="F886" s="36" t="n"/>
      <c r="G886" s="32" t="n"/>
      <c r="H886" s="32" t="n"/>
      <c r="I886" s="37">
        <f>IF(B886="","",DATE(YEAR(B886),MONTH(B886),1))</f>
        <v/>
      </c>
    </row>
    <row r="887">
      <c r="B887" s="35" t="n"/>
      <c r="C887" s="32" t="n"/>
      <c r="D887" s="32" t="n"/>
      <c r="E887" s="32" t="n"/>
      <c r="F887" s="36" t="n"/>
      <c r="G887" s="32" t="n"/>
      <c r="H887" s="32" t="n"/>
      <c r="I887" s="37">
        <f>IF(B887="","",DATE(YEAR(B887),MONTH(B887),1))</f>
        <v/>
      </c>
    </row>
    <row r="888">
      <c r="B888" s="35" t="n"/>
      <c r="C888" s="32" t="n"/>
      <c r="D888" s="32" t="n"/>
      <c r="E888" s="32" t="n"/>
      <c r="F888" s="36" t="n"/>
      <c r="G888" s="32" t="n"/>
      <c r="H888" s="32" t="n"/>
      <c r="I888" s="37">
        <f>IF(B888="","",DATE(YEAR(B888),MONTH(B888),1))</f>
        <v/>
      </c>
    </row>
    <row r="889">
      <c r="B889" s="35" t="n"/>
      <c r="C889" s="32" t="n"/>
      <c r="D889" s="32" t="n"/>
      <c r="E889" s="32" t="n"/>
      <c r="F889" s="36" t="n"/>
      <c r="G889" s="32" t="n"/>
      <c r="H889" s="32" t="n"/>
      <c r="I889" s="37">
        <f>IF(B889="","",DATE(YEAR(B889),MONTH(B889),1))</f>
        <v/>
      </c>
    </row>
    <row r="890">
      <c r="B890" s="35" t="n"/>
      <c r="C890" s="32" t="n"/>
      <c r="D890" s="32" t="n"/>
      <c r="E890" s="32" t="n"/>
      <c r="F890" s="36" t="n"/>
      <c r="G890" s="32" t="n"/>
      <c r="H890" s="32" t="n"/>
      <c r="I890" s="37">
        <f>IF(B890="","",DATE(YEAR(B890),MONTH(B890),1))</f>
        <v/>
      </c>
    </row>
    <row r="891">
      <c r="B891" s="35" t="n"/>
      <c r="C891" s="32" t="n"/>
      <c r="D891" s="32" t="n"/>
      <c r="E891" s="32" t="n"/>
      <c r="F891" s="36" t="n"/>
      <c r="G891" s="32" t="n"/>
      <c r="H891" s="32" t="n"/>
      <c r="I891" s="37">
        <f>IF(B891="","",DATE(YEAR(B891),MONTH(B891),1))</f>
        <v/>
      </c>
    </row>
    <row r="892">
      <c r="B892" s="35" t="n"/>
      <c r="C892" s="32" t="n"/>
      <c r="D892" s="32" t="n"/>
      <c r="E892" s="32" t="n"/>
      <c r="F892" s="36" t="n"/>
      <c r="G892" s="32" t="n"/>
      <c r="H892" s="32" t="n"/>
      <c r="I892" s="37">
        <f>IF(B892="","",DATE(YEAR(B892),MONTH(B892),1))</f>
        <v/>
      </c>
    </row>
    <row r="893">
      <c r="B893" s="35" t="n"/>
      <c r="C893" s="32" t="n"/>
      <c r="D893" s="32" t="n"/>
      <c r="E893" s="32" t="n"/>
      <c r="F893" s="36" t="n"/>
      <c r="G893" s="32" t="n"/>
      <c r="H893" s="32" t="n"/>
      <c r="I893" s="37">
        <f>IF(B893="","",DATE(YEAR(B893),MONTH(B893),1))</f>
        <v/>
      </c>
    </row>
    <row r="894">
      <c r="B894" s="35" t="n"/>
      <c r="C894" s="32" t="n"/>
      <c r="D894" s="32" t="n"/>
      <c r="E894" s="32" t="n"/>
      <c r="F894" s="36" t="n"/>
      <c r="G894" s="32" t="n"/>
      <c r="H894" s="32" t="n"/>
      <c r="I894" s="37">
        <f>IF(B894="","",DATE(YEAR(B894),MONTH(B894),1))</f>
        <v/>
      </c>
    </row>
    <row r="895">
      <c r="B895" s="35" t="n"/>
      <c r="C895" s="32" t="n"/>
      <c r="D895" s="32" t="n"/>
      <c r="E895" s="32" t="n"/>
      <c r="F895" s="36" t="n"/>
      <c r="G895" s="32" t="n"/>
      <c r="H895" s="32" t="n"/>
      <c r="I895" s="37">
        <f>IF(B895="","",DATE(YEAR(B895),MONTH(B895),1))</f>
        <v/>
      </c>
    </row>
    <row r="896">
      <c r="B896" s="35" t="n"/>
      <c r="C896" s="32" t="n"/>
      <c r="D896" s="32" t="n"/>
      <c r="E896" s="32" t="n"/>
      <c r="F896" s="36" t="n"/>
      <c r="G896" s="32" t="n"/>
      <c r="H896" s="32" t="n"/>
      <c r="I896" s="37">
        <f>IF(B896="","",DATE(YEAR(B896),MONTH(B896),1))</f>
        <v/>
      </c>
    </row>
    <row r="897">
      <c r="B897" s="35" t="n"/>
      <c r="C897" s="32" t="n"/>
      <c r="D897" s="32" t="n"/>
      <c r="E897" s="32" t="n"/>
      <c r="F897" s="36" t="n"/>
      <c r="G897" s="32" t="n"/>
      <c r="H897" s="32" t="n"/>
      <c r="I897" s="37">
        <f>IF(B897="","",DATE(YEAR(B897),MONTH(B897),1))</f>
        <v/>
      </c>
    </row>
    <row r="898">
      <c r="B898" s="35" t="n"/>
      <c r="C898" s="32" t="n"/>
      <c r="D898" s="32" t="n"/>
      <c r="E898" s="32" t="n"/>
      <c r="F898" s="36" t="n"/>
      <c r="G898" s="32" t="n"/>
      <c r="H898" s="32" t="n"/>
      <c r="I898" s="37">
        <f>IF(B898="","",DATE(YEAR(B898),MONTH(B898),1))</f>
        <v/>
      </c>
    </row>
    <row r="899">
      <c r="B899" s="35" t="n"/>
      <c r="C899" s="32" t="n"/>
      <c r="D899" s="32" t="n"/>
      <c r="E899" s="32" t="n"/>
      <c r="F899" s="36" t="n"/>
      <c r="G899" s="32" t="n"/>
      <c r="H899" s="32" t="n"/>
      <c r="I899" s="37">
        <f>IF(B899="","",DATE(YEAR(B899),MONTH(B899),1))</f>
        <v/>
      </c>
    </row>
    <row r="900">
      <c r="B900" s="35" t="n"/>
      <c r="C900" s="32" t="n"/>
      <c r="D900" s="32" t="n"/>
      <c r="E900" s="32" t="n"/>
      <c r="F900" s="36" t="n"/>
      <c r="G900" s="32" t="n"/>
      <c r="H900" s="32" t="n"/>
      <c r="I900" s="37">
        <f>IF(B900="","",DATE(YEAR(B900),MONTH(B900),1))</f>
        <v/>
      </c>
    </row>
    <row r="901">
      <c r="B901" s="35" t="n"/>
      <c r="C901" s="32" t="n"/>
      <c r="D901" s="32" t="n"/>
      <c r="E901" s="32" t="n"/>
      <c r="F901" s="36" t="n"/>
      <c r="G901" s="32" t="n"/>
      <c r="H901" s="32" t="n"/>
      <c r="I901" s="37">
        <f>IF(B901="","",DATE(YEAR(B901),MONTH(B901),1))</f>
        <v/>
      </c>
    </row>
    <row r="902">
      <c r="B902" s="35" t="n"/>
      <c r="C902" s="32" t="n"/>
      <c r="D902" s="32" t="n"/>
      <c r="E902" s="32" t="n"/>
      <c r="F902" s="36" t="n"/>
      <c r="G902" s="32" t="n"/>
      <c r="H902" s="32" t="n"/>
      <c r="I902" s="37">
        <f>IF(B902="","",DATE(YEAR(B902),MONTH(B902),1))</f>
        <v/>
      </c>
    </row>
    <row r="903">
      <c r="B903" s="35" t="n"/>
      <c r="C903" s="32" t="n"/>
      <c r="D903" s="32" t="n"/>
      <c r="E903" s="32" t="n"/>
      <c r="F903" s="36" t="n"/>
      <c r="G903" s="32" t="n"/>
      <c r="H903" s="32" t="n"/>
      <c r="I903" s="37">
        <f>IF(B903="","",DATE(YEAR(B903),MONTH(B903),1))</f>
        <v/>
      </c>
    </row>
    <row r="904">
      <c r="B904" s="35" t="n"/>
      <c r="C904" s="32" t="n"/>
      <c r="D904" s="32" t="n"/>
      <c r="E904" s="32" t="n"/>
      <c r="F904" s="36" t="n"/>
      <c r="G904" s="32" t="n"/>
      <c r="H904" s="32" t="n"/>
      <c r="I904" s="37">
        <f>IF(B904="","",DATE(YEAR(B904),MONTH(B904),1))</f>
        <v/>
      </c>
    </row>
    <row r="905">
      <c r="B905" s="35" t="n"/>
      <c r="C905" s="32" t="n"/>
      <c r="D905" s="32" t="n"/>
      <c r="E905" s="32" t="n"/>
      <c r="F905" s="36" t="n"/>
      <c r="G905" s="32" t="n"/>
      <c r="H905" s="32" t="n"/>
      <c r="I905" s="37">
        <f>IF(B905="","",DATE(YEAR(B905),MONTH(B905),1))</f>
        <v/>
      </c>
    </row>
    <row r="906">
      <c r="B906" s="35" t="n"/>
      <c r="C906" s="32" t="n"/>
      <c r="D906" s="32" t="n"/>
      <c r="E906" s="32" t="n"/>
      <c r="F906" s="36" t="n"/>
      <c r="G906" s="32" t="n"/>
      <c r="H906" s="32" t="n"/>
      <c r="I906" s="37">
        <f>IF(B906="","",DATE(YEAR(B906),MONTH(B906),1))</f>
        <v/>
      </c>
    </row>
    <row r="907">
      <c r="B907" s="35" t="n"/>
      <c r="C907" s="32" t="n"/>
      <c r="D907" s="32" t="n"/>
      <c r="E907" s="32" t="n"/>
      <c r="F907" s="36" t="n"/>
      <c r="G907" s="32" t="n"/>
      <c r="H907" s="32" t="n"/>
      <c r="I907" s="37">
        <f>IF(B907="","",DATE(YEAR(B907),MONTH(B907),1))</f>
        <v/>
      </c>
    </row>
    <row r="908">
      <c r="B908" s="35" t="n"/>
      <c r="C908" s="32" t="n"/>
      <c r="D908" s="32" t="n"/>
      <c r="E908" s="32" t="n"/>
      <c r="F908" s="36" t="n"/>
      <c r="G908" s="32" t="n"/>
      <c r="H908" s="32" t="n"/>
      <c r="I908" s="37">
        <f>IF(B908="","",DATE(YEAR(B908),MONTH(B908),1))</f>
        <v/>
      </c>
    </row>
    <row r="909">
      <c r="B909" s="35" t="n"/>
      <c r="C909" s="32" t="n"/>
      <c r="D909" s="32" t="n"/>
      <c r="E909" s="32" t="n"/>
      <c r="F909" s="36" t="n"/>
      <c r="G909" s="32" t="n"/>
      <c r="H909" s="32" t="n"/>
      <c r="I909" s="37">
        <f>IF(B909="","",DATE(YEAR(B909),MONTH(B909),1))</f>
        <v/>
      </c>
    </row>
    <row r="910">
      <c r="B910" s="35" t="n"/>
      <c r="C910" s="32" t="n"/>
      <c r="D910" s="32" t="n"/>
      <c r="E910" s="32" t="n"/>
      <c r="F910" s="36" t="n"/>
      <c r="G910" s="32" t="n"/>
      <c r="H910" s="32" t="n"/>
      <c r="I910" s="37">
        <f>IF(B910="","",DATE(YEAR(B910),MONTH(B910),1))</f>
        <v/>
      </c>
    </row>
    <row r="911">
      <c r="B911" s="35" t="n"/>
      <c r="C911" s="32" t="n"/>
      <c r="D911" s="32" t="n"/>
      <c r="E911" s="32" t="n"/>
      <c r="F911" s="36" t="n"/>
      <c r="G911" s="32" t="n"/>
      <c r="H911" s="32" t="n"/>
      <c r="I911" s="37">
        <f>IF(B911="","",DATE(YEAR(B911),MONTH(B911),1))</f>
        <v/>
      </c>
    </row>
    <row r="912">
      <c r="B912" s="35" t="n"/>
      <c r="C912" s="32" t="n"/>
      <c r="D912" s="32" t="n"/>
      <c r="E912" s="32" t="n"/>
      <c r="F912" s="36" t="n"/>
      <c r="G912" s="32" t="n"/>
      <c r="H912" s="32" t="n"/>
      <c r="I912" s="37">
        <f>IF(B912="","",DATE(YEAR(B912),MONTH(B912),1))</f>
        <v/>
      </c>
    </row>
    <row r="913">
      <c r="B913" s="35" t="n"/>
      <c r="C913" s="32" t="n"/>
      <c r="D913" s="32" t="n"/>
      <c r="E913" s="32" t="n"/>
      <c r="F913" s="36" t="n"/>
      <c r="G913" s="32" t="n"/>
      <c r="H913" s="32" t="n"/>
      <c r="I913" s="37">
        <f>IF(B913="","",DATE(YEAR(B913),MONTH(B913),1))</f>
        <v/>
      </c>
    </row>
    <row r="914">
      <c r="B914" s="35" t="n"/>
      <c r="C914" s="32" t="n"/>
      <c r="D914" s="32" t="n"/>
      <c r="E914" s="32" t="n"/>
      <c r="F914" s="36" t="n"/>
      <c r="G914" s="32" t="n"/>
      <c r="H914" s="32" t="n"/>
      <c r="I914" s="37">
        <f>IF(B914="","",DATE(YEAR(B914),MONTH(B914),1))</f>
        <v/>
      </c>
    </row>
    <row r="915">
      <c r="B915" s="35" t="n"/>
      <c r="C915" s="32" t="n"/>
      <c r="D915" s="32" t="n"/>
      <c r="E915" s="32" t="n"/>
      <c r="F915" s="36" t="n"/>
      <c r="G915" s="32" t="n"/>
      <c r="H915" s="32" t="n"/>
      <c r="I915" s="37">
        <f>IF(B915="","",DATE(YEAR(B915),MONTH(B915),1))</f>
        <v/>
      </c>
    </row>
    <row r="916">
      <c r="B916" s="35" t="n"/>
      <c r="C916" s="32" t="n"/>
      <c r="D916" s="32" t="n"/>
      <c r="E916" s="32" t="n"/>
      <c r="F916" s="36" t="n"/>
      <c r="G916" s="32" t="n"/>
      <c r="H916" s="32" t="n"/>
      <c r="I916" s="37">
        <f>IF(B916="","",DATE(YEAR(B916),MONTH(B916),1))</f>
        <v/>
      </c>
    </row>
    <row r="917">
      <c r="B917" s="35" t="n"/>
      <c r="C917" s="32" t="n"/>
      <c r="D917" s="32" t="n"/>
      <c r="E917" s="32" t="n"/>
      <c r="F917" s="36" t="n"/>
      <c r="G917" s="32" t="n"/>
      <c r="H917" s="32" t="n"/>
      <c r="I917" s="37">
        <f>IF(B917="","",DATE(YEAR(B917),MONTH(B917),1))</f>
        <v/>
      </c>
    </row>
    <row r="918">
      <c r="B918" s="35" t="n"/>
      <c r="C918" s="32" t="n"/>
      <c r="D918" s="32" t="n"/>
      <c r="E918" s="32" t="n"/>
      <c r="F918" s="36" t="n"/>
      <c r="G918" s="32" t="n"/>
      <c r="H918" s="32" t="n"/>
      <c r="I918" s="37">
        <f>IF(B918="","",DATE(YEAR(B918),MONTH(B918),1))</f>
        <v/>
      </c>
    </row>
    <row r="919">
      <c r="B919" s="35" t="n"/>
      <c r="C919" s="32" t="n"/>
      <c r="D919" s="32" t="n"/>
      <c r="E919" s="32" t="n"/>
      <c r="F919" s="36" t="n"/>
      <c r="G919" s="32" t="n"/>
      <c r="H919" s="32" t="n"/>
      <c r="I919" s="37">
        <f>IF(B919="","",DATE(YEAR(B919),MONTH(B919),1))</f>
        <v/>
      </c>
    </row>
    <row r="920">
      <c r="B920" s="35" t="n"/>
      <c r="C920" s="32" t="n"/>
      <c r="D920" s="32" t="n"/>
      <c r="E920" s="32" t="n"/>
      <c r="F920" s="36" t="n"/>
      <c r="G920" s="32" t="n"/>
      <c r="H920" s="32" t="n"/>
      <c r="I920" s="37">
        <f>IF(B920="","",DATE(YEAR(B920),MONTH(B920),1))</f>
        <v/>
      </c>
    </row>
    <row r="921">
      <c r="B921" s="35" t="n"/>
      <c r="C921" s="32" t="n"/>
      <c r="D921" s="32" t="n"/>
      <c r="E921" s="32" t="n"/>
      <c r="F921" s="36" t="n"/>
      <c r="G921" s="32" t="n"/>
      <c r="H921" s="32" t="n"/>
      <c r="I921" s="37">
        <f>IF(B921="","",DATE(YEAR(B921),MONTH(B921),1))</f>
        <v/>
      </c>
    </row>
    <row r="922">
      <c r="B922" s="35" t="n"/>
      <c r="C922" s="32" t="n"/>
      <c r="D922" s="32" t="n"/>
      <c r="E922" s="32" t="n"/>
      <c r="F922" s="36" t="n"/>
      <c r="G922" s="32" t="n"/>
      <c r="H922" s="32" t="n"/>
      <c r="I922" s="37">
        <f>IF(B922="","",DATE(YEAR(B922),MONTH(B922),1))</f>
        <v/>
      </c>
    </row>
    <row r="923">
      <c r="B923" s="35" t="n"/>
      <c r="C923" s="32" t="n"/>
      <c r="D923" s="32" t="n"/>
      <c r="E923" s="32" t="n"/>
      <c r="F923" s="36" t="n"/>
      <c r="G923" s="32" t="n"/>
      <c r="H923" s="32" t="n"/>
      <c r="I923" s="37">
        <f>IF(B923="","",DATE(YEAR(B923),MONTH(B923),1))</f>
        <v/>
      </c>
    </row>
    <row r="924">
      <c r="B924" s="35" t="n"/>
      <c r="C924" s="32" t="n"/>
      <c r="D924" s="32" t="n"/>
      <c r="E924" s="32" t="n"/>
      <c r="F924" s="36" t="n"/>
      <c r="G924" s="32" t="n"/>
      <c r="H924" s="32" t="n"/>
      <c r="I924" s="37">
        <f>IF(B924="","",DATE(YEAR(B924),MONTH(B924),1))</f>
        <v/>
      </c>
    </row>
    <row r="925">
      <c r="B925" s="35" t="n"/>
      <c r="C925" s="32" t="n"/>
      <c r="D925" s="32" t="n"/>
      <c r="E925" s="32" t="n"/>
      <c r="F925" s="36" t="n"/>
      <c r="G925" s="32" t="n"/>
      <c r="H925" s="32" t="n"/>
      <c r="I925" s="37">
        <f>IF(B925="","",DATE(YEAR(B925),MONTH(B925),1))</f>
        <v/>
      </c>
    </row>
    <row r="926">
      <c r="B926" s="35" t="n"/>
      <c r="C926" s="32" t="n"/>
      <c r="D926" s="32" t="n"/>
      <c r="E926" s="32" t="n"/>
      <c r="F926" s="36" t="n"/>
      <c r="G926" s="32" t="n"/>
      <c r="H926" s="32" t="n"/>
      <c r="I926" s="37">
        <f>IF(B926="","",DATE(YEAR(B926),MONTH(B926),1))</f>
        <v/>
      </c>
    </row>
    <row r="927">
      <c r="B927" s="35" t="n"/>
      <c r="C927" s="32" t="n"/>
      <c r="D927" s="32" t="n"/>
      <c r="E927" s="32" t="n"/>
      <c r="F927" s="36" t="n"/>
      <c r="G927" s="32" t="n"/>
      <c r="H927" s="32" t="n"/>
      <c r="I927" s="37">
        <f>IF(B927="","",DATE(YEAR(B927),MONTH(B927),1))</f>
        <v/>
      </c>
    </row>
    <row r="928">
      <c r="B928" s="35" t="n"/>
      <c r="C928" s="32" t="n"/>
      <c r="D928" s="32" t="n"/>
      <c r="E928" s="32" t="n"/>
      <c r="F928" s="36" t="n"/>
      <c r="G928" s="32" t="n"/>
      <c r="H928" s="32" t="n"/>
      <c r="I928" s="37">
        <f>IF(B928="","",DATE(YEAR(B928),MONTH(B928),1))</f>
        <v/>
      </c>
    </row>
    <row r="929">
      <c r="B929" s="35" t="n"/>
      <c r="C929" s="32" t="n"/>
      <c r="D929" s="32" t="n"/>
      <c r="E929" s="32" t="n"/>
      <c r="F929" s="36" t="n"/>
      <c r="G929" s="32" t="n"/>
      <c r="H929" s="32" t="n"/>
      <c r="I929" s="37">
        <f>IF(B929="","",DATE(YEAR(B929),MONTH(B929),1))</f>
        <v/>
      </c>
    </row>
    <row r="930">
      <c r="B930" s="35" t="n"/>
      <c r="C930" s="32" t="n"/>
      <c r="D930" s="32" t="n"/>
      <c r="E930" s="32" t="n"/>
      <c r="F930" s="36" t="n"/>
      <c r="G930" s="32" t="n"/>
      <c r="H930" s="32" t="n"/>
      <c r="I930" s="37">
        <f>IF(B930="","",DATE(YEAR(B930),MONTH(B930),1))</f>
        <v/>
      </c>
    </row>
    <row r="931">
      <c r="B931" s="35" t="n"/>
      <c r="C931" s="32" t="n"/>
      <c r="D931" s="32" t="n"/>
      <c r="E931" s="32" t="n"/>
      <c r="F931" s="36" t="n"/>
      <c r="G931" s="32" t="n"/>
      <c r="H931" s="32" t="n"/>
      <c r="I931" s="37">
        <f>IF(B931="","",DATE(YEAR(B931),MONTH(B931),1))</f>
        <v/>
      </c>
    </row>
    <row r="932">
      <c r="B932" s="35" t="n"/>
      <c r="C932" s="32" t="n"/>
      <c r="D932" s="32" t="n"/>
      <c r="E932" s="32" t="n"/>
      <c r="F932" s="36" t="n"/>
      <c r="G932" s="32" t="n"/>
      <c r="H932" s="32" t="n"/>
      <c r="I932" s="37">
        <f>IF(B932="","",DATE(YEAR(B932),MONTH(B932),1))</f>
        <v/>
      </c>
    </row>
    <row r="933">
      <c r="B933" s="35" t="n"/>
      <c r="C933" s="32" t="n"/>
      <c r="D933" s="32" t="n"/>
      <c r="E933" s="32" t="n"/>
      <c r="F933" s="36" t="n"/>
      <c r="G933" s="32" t="n"/>
      <c r="H933" s="32" t="n"/>
      <c r="I933" s="37">
        <f>IF(B933="","",DATE(YEAR(B933),MONTH(B933),1))</f>
        <v/>
      </c>
    </row>
    <row r="934">
      <c r="B934" s="35" t="n"/>
      <c r="C934" s="32" t="n"/>
      <c r="D934" s="32" t="n"/>
      <c r="E934" s="32" t="n"/>
      <c r="F934" s="36" t="n"/>
      <c r="G934" s="32" t="n"/>
      <c r="H934" s="32" t="n"/>
      <c r="I934" s="37">
        <f>IF(B934="","",DATE(YEAR(B934),MONTH(B934),1))</f>
        <v/>
      </c>
    </row>
    <row r="935">
      <c r="B935" s="35" t="n"/>
      <c r="C935" s="32" t="n"/>
      <c r="D935" s="32" t="n"/>
      <c r="E935" s="32" t="n"/>
      <c r="F935" s="36" t="n"/>
      <c r="G935" s="32" t="n"/>
      <c r="H935" s="32" t="n"/>
      <c r="I935" s="37">
        <f>IF(B935="","",DATE(YEAR(B935),MONTH(B935),1))</f>
        <v/>
      </c>
    </row>
    <row r="936">
      <c r="B936" s="35" t="n"/>
      <c r="C936" s="32" t="n"/>
      <c r="D936" s="32" t="n"/>
      <c r="E936" s="32" t="n"/>
      <c r="F936" s="36" t="n"/>
      <c r="G936" s="32" t="n"/>
      <c r="H936" s="32" t="n"/>
      <c r="I936" s="37">
        <f>IF(B936="","",DATE(YEAR(B936),MONTH(B936),1))</f>
        <v/>
      </c>
    </row>
    <row r="937">
      <c r="B937" s="35" t="n"/>
      <c r="C937" s="32" t="n"/>
      <c r="D937" s="32" t="n"/>
      <c r="E937" s="32" t="n"/>
      <c r="F937" s="36" t="n"/>
      <c r="G937" s="32" t="n"/>
      <c r="H937" s="32" t="n"/>
      <c r="I937" s="37">
        <f>IF(B937="","",DATE(YEAR(B937),MONTH(B937),1))</f>
        <v/>
      </c>
    </row>
    <row r="938">
      <c r="B938" s="35" t="n"/>
      <c r="C938" s="32" t="n"/>
      <c r="D938" s="32" t="n"/>
      <c r="E938" s="32" t="n"/>
      <c r="F938" s="36" t="n"/>
      <c r="G938" s="32" t="n"/>
      <c r="H938" s="32" t="n"/>
      <c r="I938" s="37">
        <f>IF(B938="","",DATE(YEAR(B938),MONTH(B938),1))</f>
        <v/>
      </c>
    </row>
    <row r="939">
      <c r="B939" s="35" t="n"/>
      <c r="C939" s="32" t="n"/>
      <c r="D939" s="32" t="n"/>
      <c r="E939" s="32" t="n"/>
      <c r="F939" s="36" t="n"/>
      <c r="G939" s="32" t="n"/>
      <c r="H939" s="32" t="n"/>
      <c r="I939" s="37">
        <f>IF(B939="","",DATE(YEAR(B939),MONTH(B939),1))</f>
        <v/>
      </c>
    </row>
    <row r="940">
      <c r="B940" s="35" t="n"/>
      <c r="C940" s="32" t="n"/>
      <c r="D940" s="32" t="n"/>
      <c r="E940" s="32" t="n"/>
      <c r="F940" s="36" t="n"/>
      <c r="G940" s="32" t="n"/>
      <c r="H940" s="32" t="n"/>
      <c r="I940" s="37">
        <f>IF(B940="","",DATE(YEAR(B940),MONTH(B940),1))</f>
        <v/>
      </c>
    </row>
    <row r="941">
      <c r="B941" s="35" t="n"/>
      <c r="C941" s="32" t="n"/>
      <c r="D941" s="32" t="n"/>
      <c r="E941" s="32" t="n"/>
      <c r="F941" s="36" t="n"/>
      <c r="G941" s="32" t="n"/>
      <c r="H941" s="32" t="n"/>
      <c r="I941" s="37">
        <f>IF(B941="","",DATE(YEAR(B941),MONTH(B941),1))</f>
        <v/>
      </c>
    </row>
    <row r="942">
      <c r="B942" s="35" t="n"/>
      <c r="C942" s="32" t="n"/>
      <c r="D942" s="32" t="n"/>
      <c r="E942" s="32" t="n"/>
      <c r="F942" s="36" t="n"/>
      <c r="G942" s="32" t="n"/>
      <c r="H942" s="32" t="n"/>
      <c r="I942" s="37">
        <f>IF(B942="","",DATE(YEAR(B942),MONTH(B942),1))</f>
        <v/>
      </c>
    </row>
    <row r="943">
      <c r="B943" s="35" t="n"/>
      <c r="C943" s="32" t="n"/>
      <c r="D943" s="32" t="n"/>
      <c r="E943" s="32" t="n"/>
      <c r="F943" s="36" t="n"/>
      <c r="G943" s="32" t="n"/>
      <c r="H943" s="32" t="n"/>
      <c r="I943" s="37">
        <f>IF(B943="","",DATE(YEAR(B943),MONTH(B943),1))</f>
        <v/>
      </c>
    </row>
    <row r="944">
      <c r="B944" s="35" t="n"/>
      <c r="C944" s="32" t="n"/>
      <c r="D944" s="32" t="n"/>
      <c r="E944" s="32" t="n"/>
      <c r="F944" s="36" t="n"/>
      <c r="G944" s="32" t="n"/>
      <c r="H944" s="32" t="n"/>
      <c r="I944" s="37">
        <f>IF(B944="","",DATE(YEAR(B944),MONTH(B944),1))</f>
        <v/>
      </c>
    </row>
    <row r="945">
      <c r="B945" s="35" t="n"/>
      <c r="C945" s="32" t="n"/>
      <c r="D945" s="32" t="n"/>
      <c r="E945" s="32" t="n"/>
      <c r="F945" s="36" t="n"/>
      <c r="G945" s="32" t="n"/>
      <c r="H945" s="32" t="n"/>
      <c r="I945" s="37">
        <f>IF(B945="","",DATE(YEAR(B945),MONTH(B945),1))</f>
        <v/>
      </c>
    </row>
    <row r="946">
      <c r="B946" s="35" t="n"/>
      <c r="C946" s="32" t="n"/>
      <c r="D946" s="32" t="n"/>
      <c r="E946" s="32" t="n"/>
      <c r="F946" s="36" t="n"/>
      <c r="G946" s="32" t="n"/>
      <c r="H946" s="32" t="n"/>
      <c r="I946" s="37">
        <f>IF(B946="","",DATE(YEAR(B946),MONTH(B946),1))</f>
        <v/>
      </c>
    </row>
    <row r="947">
      <c r="B947" s="35" t="n"/>
      <c r="C947" s="32" t="n"/>
      <c r="D947" s="32" t="n"/>
      <c r="E947" s="32" t="n"/>
      <c r="F947" s="36" t="n"/>
      <c r="G947" s="32" t="n"/>
      <c r="H947" s="32" t="n"/>
      <c r="I947" s="37">
        <f>IF(B947="","",DATE(YEAR(B947),MONTH(B947),1))</f>
        <v/>
      </c>
    </row>
    <row r="948">
      <c r="B948" s="35" t="n"/>
      <c r="C948" s="32" t="n"/>
      <c r="D948" s="32" t="n"/>
      <c r="E948" s="32" t="n"/>
      <c r="F948" s="36" t="n"/>
      <c r="G948" s="32" t="n"/>
      <c r="H948" s="32" t="n"/>
      <c r="I948" s="37">
        <f>IF(B948="","",DATE(YEAR(B948),MONTH(B948),1))</f>
        <v/>
      </c>
    </row>
    <row r="949">
      <c r="B949" s="35" t="n"/>
      <c r="C949" s="32" t="n"/>
      <c r="D949" s="32" t="n"/>
      <c r="E949" s="32" t="n"/>
      <c r="F949" s="36" t="n"/>
      <c r="G949" s="32" t="n"/>
      <c r="H949" s="32" t="n"/>
      <c r="I949" s="37">
        <f>IF(B949="","",DATE(YEAR(B949),MONTH(B949),1))</f>
        <v/>
      </c>
    </row>
    <row r="950">
      <c r="B950" s="35" t="n"/>
      <c r="C950" s="32" t="n"/>
      <c r="D950" s="32" t="n"/>
      <c r="E950" s="32" t="n"/>
      <c r="F950" s="36" t="n"/>
      <c r="G950" s="32" t="n"/>
      <c r="H950" s="32" t="n"/>
      <c r="I950" s="37">
        <f>IF(B950="","",DATE(YEAR(B950),MONTH(B950),1))</f>
        <v/>
      </c>
    </row>
    <row r="951">
      <c r="B951" s="35" t="n"/>
      <c r="C951" s="32" t="n"/>
      <c r="D951" s="32" t="n"/>
      <c r="E951" s="32" t="n"/>
      <c r="F951" s="36" t="n"/>
      <c r="G951" s="32" t="n"/>
      <c r="H951" s="32" t="n"/>
      <c r="I951" s="37">
        <f>IF(B951="","",DATE(YEAR(B951),MONTH(B951),1))</f>
        <v/>
      </c>
    </row>
    <row r="952">
      <c r="B952" s="35" t="n"/>
      <c r="C952" s="32" t="n"/>
      <c r="D952" s="32" t="n"/>
      <c r="E952" s="32" t="n"/>
      <c r="F952" s="36" t="n"/>
      <c r="G952" s="32" t="n"/>
      <c r="H952" s="32" t="n"/>
      <c r="I952" s="37">
        <f>IF(B952="","",DATE(YEAR(B952),MONTH(B952),1))</f>
        <v/>
      </c>
    </row>
    <row r="953">
      <c r="B953" s="35" t="n"/>
      <c r="C953" s="32" t="n"/>
      <c r="D953" s="32" t="n"/>
      <c r="E953" s="32" t="n"/>
      <c r="F953" s="36" t="n"/>
      <c r="G953" s="32" t="n"/>
      <c r="H953" s="32" t="n"/>
      <c r="I953" s="37">
        <f>IF(B953="","",DATE(YEAR(B953),MONTH(B953),1))</f>
        <v/>
      </c>
    </row>
    <row r="954">
      <c r="B954" s="35" t="n"/>
      <c r="C954" s="32" t="n"/>
      <c r="D954" s="32" t="n"/>
      <c r="E954" s="32" t="n"/>
      <c r="F954" s="36" t="n"/>
      <c r="G954" s="32" t="n"/>
      <c r="H954" s="32" t="n"/>
      <c r="I954" s="37">
        <f>IF(B954="","",DATE(YEAR(B954),MONTH(B954),1))</f>
        <v/>
      </c>
    </row>
    <row r="955">
      <c r="B955" s="35" t="n"/>
      <c r="C955" s="32" t="n"/>
      <c r="D955" s="32" t="n"/>
      <c r="E955" s="32" t="n"/>
      <c r="F955" s="36" t="n"/>
      <c r="G955" s="32" t="n"/>
      <c r="H955" s="32" t="n"/>
      <c r="I955" s="37">
        <f>IF(B955="","",DATE(YEAR(B955),MONTH(B955),1))</f>
        <v/>
      </c>
    </row>
    <row r="956">
      <c r="B956" s="35" t="n"/>
      <c r="C956" s="32" t="n"/>
      <c r="D956" s="32" t="n"/>
      <c r="E956" s="32" t="n"/>
      <c r="F956" s="36" t="n"/>
      <c r="G956" s="32" t="n"/>
      <c r="H956" s="32" t="n"/>
      <c r="I956" s="37">
        <f>IF(B956="","",DATE(YEAR(B956),MONTH(B956),1))</f>
        <v/>
      </c>
    </row>
    <row r="957">
      <c r="B957" s="35" t="n"/>
      <c r="C957" s="32" t="n"/>
      <c r="D957" s="32" t="n"/>
      <c r="E957" s="32" t="n"/>
      <c r="F957" s="36" t="n"/>
      <c r="G957" s="32" t="n"/>
      <c r="H957" s="32" t="n"/>
      <c r="I957" s="37">
        <f>IF(B957="","",DATE(YEAR(B957),MONTH(B957),1))</f>
        <v/>
      </c>
    </row>
    <row r="958">
      <c r="B958" s="35" t="n"/>
      <c r="C958" s="32" t="n"/>
      <c r="D958" s="32" t="n"/>
      <c r="E958" s="32" t="n"/>
      <c r="F958" s="36" t="n"/>
      <c r="G958" s="32" t="n"/>
      <c r="H958" s="32" t="n"/>
      <c r="I958" s="37">
        <f>IF(B958="","",DATE(YEAR(B958),MONTH(B958),1))</f>
        <v/>
      </c>
    </row>
    <row r="959">
      <c r="B959" s="35" t="n"/>
      <c r="C959" s="32" t="n"/>
      <c r="D959" s="32" t="n"/>
      <c r="E959" s="32" t="n"/>
      <c r="F959" s="36" t="n"/>
      <c r="G959" s="32" t="n"/>
      <c r="H959" s="32" t="n"/>
      <c r="I959" s="37">
        <f>IF(B959="","",DATE(YEAR(B959),MONTH(B959),1))</f>
        <v/>
      </c>
    </row>
    <row r="960">
      <c r="B960" s="35" t="n"/>
      <c r="C960" s="32" t="n"/>
      <c r="D960" s="32" t="n"/>
      <c r="E960" s="32" t="n"/>
      <c r="F960" s="36" t="n"/>
      <c r="G960" s="32" t="n"/>
      <c r="H960" s="32" t="n"/>
      <c r="I960" s="37">
        <f>IF(B960="","",DATE(YEAR(B960),MONTH(B960),1))</f>
        <v/>
      </c>
    </row>
    <row r="961">
      <c r="B961" s="35" t="n"/>
      <c r="C961" s="32" t="n"/>
      <c r="D961" s="32" t="n"/>
      <c r="E961" s="32" t="n"/>
      <c r="F961" s="36" t="n"/>
      <c r="G961" s="32" t="n"/>
      <c r="H961" s="32" t="n"/>
      <c r="I961" s="37">
        <f>IF(B961="","",DATE(YEAR(B961),MONTH(B961),1))</f>
        <v/>
      </c>
    </row>
    <row r="962">
      <c r="B962" s="35" t="n"/>
      <c r="C962" s="32" t="n"/>
      <c r="D962" s="32" t="n"/>
      <c r="E962" s="32" t="n"/>
      <c r="F962" s="36" t="n"/>
      <c r="G962" s="32" t="n"/>
      <c r="H962" s="32" t="n"/>
      <c r="I962" s="37">
        <f>IF(B962="","",DATE(YEAR(B962),MONTH(B962),1))</f>
        <v/>
      </c>
    </row>
    <row r="963">
      <c r="B963" s="35" t="n"/>
      <c r="C963" s="32" t="n"/>
      <c r="D963" s="32" t="n"/>
      <c r="E963" s="32" t="n"/>
      <c r="F963" s="36" t="n"/>
      <c r="G963" s="32" t="n"/>
      <c r="H963" s="32" t="n"/>
      <c r="I963" s="37">
        <f>IF(B963="","",DATE(YEAR(B963),MONTH(B963),1))</f>
        <v/>
      </c>
    </row>
    <row r="964">
      <c r="B964" s="35" t="n"/>
      <c r="C964" s="32" t="n"/>
      <c r="D964" s="32" t="n"/>
      <c r="E964" s="32" t="n"/>
      <c r="F964" s="36" t="n"/>
      <c r="G964" s="32" t="n"/>
      <c r="H964" s="32" t="n"/>
      <c r="I964" s="37">
        <f>IF(B964="","",DATE(YEAR(B964),MONTH(B964),1))</f>
        <v/>
      </c>
    </row>
    <row r="965">
      <c r="B965" s="35" t="n"/>
      <c r="C965" s="32" t="n"/>
      <c r="D965" s="32" t="n"/>
      <c r="E965" s="32" t="n"/>
      <c r="F965" s="36" t="n"/>
      <c r="G965" s="32" t="n"/>
      <c r="H965" s="32" t="n"/>
      <c r="I965" s="37">
        <f>IF(B965="","",DATE(YEAR(B965),MONTH(B965),1))</f>
        <v/>
      </c>
    </row>
    <row r="966">
      <c r="B966" s="35" t="n"/>
      <c r="C966" s="32" t="n"/>
      <c r="D966" s="32" t="n"/>
      <c r="E966" s="32" t="n"/>
      <c r="F966" s="36" t="n"/>
      <c r="G966" s="32" t="n"/>
      <c r="H966" s="32" t="n"/>
      <c r="I966" s="37">
        <f>IF(B966="","",DATE(YEAR(B966),MONTH(B966),1))</f>
        <v/>
      </c>
    </row>
    <row r="967">
      <c r="B967" s="35" t="n"/>
      <c r="C967" s="32" t="n"/>
      <c r="D967" s="32" t="n"/>
      <c r="E967" s="32" t="n"/>
      <c r="F967" s="36" t="n"/>
      <c r="G967" s="32" t="n"/>
      <c r="H967" s="32" t="n"/>
      <c r="I967" s="37">
        <f>IF(B967="","",DATE(YEAR(B967),MONTH(B967),1))</f>
        <v/>
      </c>
    </row>
    <row r="968">
      <c r="B968" s="35" t="n"/>
      <c r="C968" s="32" t="n"/>
      <c r="D968" s="32" t="n"/>
      <c r="E968" s="32" t="n"/>
      <c r="F968" s="36" t="n"/>
      <c r="G968" s="32" t="n"/>
      <c r="H968" s="32" t="n"/>
      <c r="I968" s="37">
        <f>IF(B968="","",DATE(YEAR(B968),MONTH(B968),1))</f>
        <v/>
      </c>
    </row>
    <row r="969">
      <c r="B969" s="35" t="n"/>
      <c r="C969" s="32" t="n"/>
      <c r="D969" s="32" t="n"/>
      <c r="E969" s="32" t="n"/>
      <c r="F969" s="36" t="n"/>
      <c r="G969" s="32" t="n"/>
      <c r="H969" s="32" t="n"/>
      <c r="I969" s="37">
        <f>IF(B969="","",DATE(YEAR(B969),MONTH(B969),1))</f>
        <v/>
      </c>
    </row>
    <row r="970">
      <c r="B970" s="35" t="n"/>
      <c r="C970" s="32" t="n"/>
      <c r="D970" s="32" t="n"/>
      <c r="E970" s="32" t="n"/>
      <c r="F970" s="36" t="n"/>
      <c r="G970" s="32" t="n"/>
      <c r="H970" s="32" t="n"/>
      <c r="I970" s="37">
        <f>IF(B970="","",DATE(YEAR(B970),MONTH(B970),1))</f>
        <v/>
      </c>
    </row>
    <row r="971">
      <c r="B971" s="35" t="n"/>
      <c r="C971" s="32" t="n"/>
      <c r="D971" s="32" t="n"/>
      <c r="E971" s="32" t="n"/>
      <c r="F971" s="36" t="n"/>
      <c r="G971" s="32" t="n"/>
      <c r="H971" s="32" t="n"/>
      <c r="I971" s="37">
        <f>IF(B971="","",DATE(YEAR(B971),MONTH(B971),1))</f>
        <v/>
      </c>
    </row>
    <row r="972">
      <c r="B972" s="35" t="n"/>
      <c r="C972" s="32" t="n"/>
      <c r="D972" s="32" t="n"/>
      <c r="E972" s="32" t="n"/>
      <c r="F972" s="36" t="n"/>
      <c r="G972" s="32" t="n"/>
      <c r="H972" s="32" t="n"/>
      <c r="I972" s="37">
        <f>IF(B972="","",DATE(YEAR(B972),MONTH(B972),1))</f>
        <v/>
      </c>
    </row>
    <row r="973">
      <c r="B973" s="35" t="n"/>
      <c r="C973" s="32" t="n"/>
      <c r="D973" s="32" t="n"/>
      <c r="E973" s="32" t="n"/>
      <c r="F973" s="36" t="n"/>
      <c r="G973" s="32" t="n"/>
      <c r="H973" s="32" t="n"/>
      <c r="I973" s="37">
        <f>IF(B973="","",DATE(YEAR(B973),MONTH(B973),1))</f>
        <v/>
      </c>
    </row>
    <row r="974">
      <c r="B974" s="35" t="n"/>
      <c r="C974" s="32" t="n"/>
      <c r="D974" s="32" t="n"/>
      <c r="E974" s="32" t="n"/>
      <c r="F974" s="36" t="n"/>
      <c r="G974" s="32" t="n"/>
      <c r="H974" s="32" t="n"/>
      <c r="I974" s="37">
        <f>IF(B974="","",DATE(YEAR(B974),MONTH(B974),1))</f>
        <v/>
      </c>
    </row>
    <row r="975">
      <c r="B975" s="35" t="n"/>
      <c r="C975" s="32" t="n"/>
      <c r="D975" s="32" t="n"/>
      <c r="E975" s="32" t="n"/>
      <c r="F975" s="36" t="n"/>
      <c r="G975" s="32" t="n"/>
      <c r="H975" s="32" t="n"/>
      <c r="I975" s="37">
        <f>IF(B975="","",DATE(YEAR(B975),MONTH(B975),1))</f>
        <v/>
      </c>
    </row>
    <row r="976">
      <c r="B976" s="35" t="n"/>
      <c r="C976" s="32" t="n"/>
      <c r="D976" s="32" t="n"/>
      <c r="E976" s="32" t="n"/>
      <c r="F976" s="36" t="n"/>
      <c r="G976" s="32" t="n"/>
      <c r="H976" s="32" t="n"/>
      <c r="I976" s="37">
        <f>IF(B976="","",DATE(YEAR(B976),MONTH(B976),1))</f>
        <v/>
      </c>
    </row>
    <row r="977">
      <c r="B977" s="35" t="n"/>
      <c r="C977" s="32" t="n"/>
      <c r="D977" s="32" t="n"/>
      <c r="E977" s="32" t="n"/>
      <c r="F977" s="36" t="n"/>
      <c r="G977" s="32" t="n"/>
      <c r="H977" s="32" t="n"/>
      <c r="I977" s="37">
        <f>IF(B977="","",DATE(YEAR(B977),MONTH(B977),1))</f>
        <v/>
      </c>
    </row>
    <row r="978">
      <c r="B978" s="35" t="n"/>
      <c r="C978" s="32" t="n"/>
      <c r="D978" s="32" t="n"/>
      <c r="E978" s="32" t="n"/>
      <c r="F978" s="36" t="n"/>
      <c r="G978" s="32" t="n"/>
      <c r="H978" s="32" t="n"/>
      <c r="I978" s="37">
        <f>IF(B978="","",DATE(YEAR(B978),MONTH(B978),1))</f>
        <v/>
      </c>
    </row>
    <row r="979">
      <c r="B979" s="35" t="n"/>
      <c r="C979" s="32" t="n"/>
      <c r="D979" s="32" t="n"/>
      <c r="E979" s="32" t="n"/>
      <c r="F979" s="36" t="n"/>
      <c r="G979" s="32" t="n"/>
      <c r="H979" s="32" t="n"/>
      <c r="I979" s="37">
        <f>IF(B979="","",DATE(YEAR(B979),MONTH(B979),1))</f>
        <v/>
      </c>
    </row>
    <row r="980">
      <c r="B980" s="35" t="n"/>
      <c r="C980" s="32" t="n"/>
      <c r="D980" s="32" t="n"/>
      <c r="E980" s="32" t="n"/>
      <c r="F980" s="36" t="n"/>
      <c r="G980" s="32" t="n"/>
      <c r="H980" s="32" t="n"/>
      <c r="I980" s="37">
        <f>IF(B980="","",DATE(YEAR(B980),MONTH(B980),1))</f>
        <v/>
      </c>
    </row>
    <row r="981">
      <c r="B981" s="35" t="n"/>
      <c r="C981" s="32" t="n"/>
      <c r="D981" s="32" t="n"/>
      <c r="E981" s="32" t="n"/>
      <c r="F981" s="36" t="n"/>
      <c r="G981" s="32" t="n"/>
      <c r="H981" s="32" t="n"/>
      <c r="I981" s="37">
        <f>IF(B981="","",DATE(YEAR(B981),MONTH(B981),1))</f>
        <v/>
      </c>
    </row>
    <row r="982">
      <c r="B982" s="35" t="n"/>
      <c r="C982" s="32" t="n"/>
      <c r="D982" s="32" t="n"/>
      <c r="E982" s="32" t="n"/>
      <c r="F982" s="36" t="n"/>
      <c r="G982" s="32" t="n"/>
      <c r="H982" s="32" t="n"/>
      <c r="I982" s="37">
        <f>IF(B982="","",DATE(YEAR(B982),MONTH(B982),1))</f>
        <v/>
      </c>
    </row>
    <row r="983">
      <c r="B983" s="35" t="n"/>
      <c r="C983" s="32" t="n"/>
      <c r="D983" s="32" t="n"/>
      <c r="E983" s="32" t="n"/>
      <c r="F983" s="36" t="n"/>
      <c r="G983" s="32" t="n"/>
      <c r="H983" s="32" t="n"/>
      <c r="I983" s="37">
        <f>IF(B983="","",DATE(YEAR(B983),MONTH(B983),1))</f>
        <v/>
      </c>
    </row>
    <row r="984">
      <c r="B984" s="35" t="n"/>
      <c r="C984" s="32" t="n"/>
      <c r="D984" s="32" t="n"/>
      <c r="E984" s="32" t="n"/>
      <c r="F984" s="36" t="n"/>
      <c r="G984" s="32" t="n"/>
      <c r="H984" s="32" t="n"/>
      <c r="I984" s="37">
        <f>IF(B984="","",DATE(YEAR(B984),MONTH(B984),1))</f>
        <v/>
      </c>
    </row>
    <row r="985">
      <c r="B985" s="35" t="n"/>
      <c r="C985" s="32" t="n"/>
      <c r="D985" s="32" t="n"/>
      <c r="E985" s="32" t="n"/>
      <c r="F985" s="36" t="n"/>
      <c r="G985" s="32" t="n"/>
      <c r="H985" s="32" t="n"/>
      <c r="I985" s="37">
        <f>IF(B985="","",DATE(YEAR(B985),MONTH(B985),1))</f>
        <v/>
      </c>
    </row>
    <row r="986">
      <c r="B986" s="35" t="n"/>
      <c r="C986" s="32" t="n"/>
      <c r="D986" s="32" t="n"/>
      <c r="E986" s="32" t="n"/>
      <c r="F986" s="36" t="n"/>
      <c r="G986" s="32" t="n"/>
      <c r="H986" s="32" t="n"/>
      <c r="I986" s="37">
        <f>IF(B986="","",DATE(YEAR(B986),MONTH(B986),1))</f>
        <v/>
      </c>
    </row>
    <row r="987">
      <c r="B987" s="35" t="n"/>
      <c r="C987" s="32" t="n"/>
      <c r="D987" s="32" t="n"/>
      <c r="E987" s="32" t="n"/>
      <c r="F987" s="36" t="n"/>
      <c r="G987" s="32" t="n"/>
      <c r="H987" s="32" t="n"/>
      <c r="I987" s="37">
        <f>IF(B987="","",DATE(YEAR(B987),MONTH(B987),1))</f>
        <v/>
      </c>
    </row>
    <row r="988">
      <c r="B988" s="35" t="n"/>
      <c r="C988" s="32" t="n"/>
      <c r="D988" s="32" t="n"/>
      <c r="E988" s="32" t="n"/>
      <c r="F988" s="36" t="n"/>
      <c r="G988" s="32" t="n"/>
      <c r="H988" s="32" t="n"/>
      <c r="I988" s="37">
        <f>IF(B988="","",DATE(YEAR(B988),MONTH(B988),1))</f>
        <v/>
      </c>
    </row>
    <row r="989">
      <c r="B989" s="35" t="n"/>
      <c r="C989" s="32" t="n"/>
      <c r="D989" s="32" t="n"/>
      <c r="E989" s="32" t="n"/>
      <c r="F989" s="36" t="n"/>
      <c r="G989" s="32" t="n"/>
      <c r="H989" s="32" t="n"/>
      <c r="I989" s="37">
        <f>IF(B989="","",DATE(YEAR(B989),MONTH(B989),1))</f>
        <v/>
      </c>
    </row>
    <row r="990">
      <c r="B990" s="35" t="n"/>
      <c r="C990" s="32" t="n"/>
      <c r="D990" s="32" t="n"/>
      <c r="E990" s="32" t="n"/>
      <c r="F990" s="36" t="n"/>
      <c r="G990" s="32" t="n"/>
      <c r="H990" s="32" t="n"/>
      <c r="I990" s="37">
        <f>IF(B990="","",DATE(YEAR(B990),MONTH(B990),1))</f>
        <v/>
      </c>
    </row>
    <row r="991">
      <c r="B991" s="35" t="n"/>
      <c r="C991" s="32" t="n"/>
      <c r="D991" s="32" t="n"/>
      <c r="E991" s="32" t="n"/>
      <c r="F991" s="36" t="n"/>
      <c r="G991" s="32" t="n"/>
      <c r="H991" s="32" t="n"/>
      <c r="I991" s="37">
        <f>IF(B991="","",DATE(YEAR(B991),MONTH(B991),1))</f>
        <v/>
      </c>
    </row>
    <row r="992">
      <c r="B992" s="35" t="n"/>
      <c r="C992" s="32" t="n"/>
      <c r="D992" s="32" t="n"/>
      <c r="E992" s="32" t="n"/>
      <c r="F992" s="36" t="n"/>
      <c r="G992" s="32" t="n"/>
      <c r="H992" s="32" t="n"/>
      <c r="I992" s="37">
        <f>IF(B992="","",DATE(YEAR(B992),MONTH(B992),1))</f>
        <v/>
      </c>
    </row>
    <row r="993">
      <c r="B993" s="35" t="n"/>
      <c r="C993" s="32" t="n"/>
      <c r="D993" s="32" t="n"/>
      <c r="E993" s="32" t="n"/>
      <c r="F993" s="36" t="n"/>
      <c r="G993" s="32" t="n"/>
      <c r="H993" s="32" t="n"/>
      <c r="I993" s="37">
        <f>IF(B993="","",DATE(YEAR(B993),MONTH(B993),1))</f>
        <v/>
      </c>
    </row>
    <row r="994">
      <c r="B994" s="35" t="n"/>
      <c r="C994" s="32" t="n"/>
      <c r="D994" s="32" t="n"/>
      <c r="E994" s="32" t="n"/>
      <c r="F994" s="36" t="n"/>
      <c r="G994" s="32" t="n"/>
      <c r="H994" s="32" t="n"/>
      <c r="I994" s="37">
        <f>IF(B994="","",DATE(YEAR(B994),MONTH(B994),1))</f>
        <v/>
      </c>
    </row>
    <row r="995">
      <c r="B995" s="35" t="n"/>
      <c r="C995" s="32" t="n"/>
      <c r="D995" s="32" t="n"/>
      <c r="E995" s="32" t="n"/>
      <c r="F995" s="36" t="n"/>
      <c r="G995" s="32" t="n"/>
      <c r="H995" s="32" t="n"/>
      <c r="I995" s="37">
        <f>IF(B995="","",DATE(YEAR(B995),MONTH(B995),1))</f>
        <v/>
      </c>
    </row>
    <row r="996">
      <c r="B996" s="35" t="n"/>
      <c r="C996" s="32" t="n"/>
      <c r="D996" s="32" t="n"/>
      <c r="E996" s="32" t="n"/>
      <c r="F996" s="36" t="n"/>
      <c r="G996" s="32" t="n"/>
      <c r="H996" s="32" t="n"/>
      <c r="I996" s="37">
        <f>IF(B996="","",DATE(YEAR(B996),MONTH(B996),1))</f>
        <v/>
      </c>
    </row>
    <row r="997">
      <c r="B997" s="35" t="n"/>
      <c r="C997" s="32" t="n"/>
      <c r="D997" s="32" t="n"/>
      <c r="E997" s="32" t="n"/>
      <c r="F997" s="36" t="n"/>
      <c r="G997" s="32" t="n"/>
      <c r="H997" s="32" t="n"/>
      <c r="I997" s="37">
        <f>IF(B997="","",DATE(YEAR(B997),MONTH(B997),1))</f>
        <v/>
      </c>
    </row>
    <row r="998">
      <c r="B998" s="35" t="n"/>
      <c r="C998" s="32" t="n"/>
      <c r="D998" s="32" t="n"/>
      <c r="E998" s="32" t="n"/>
      <c r="F998" s="36" t="n"/>
      <c r="G998" s="32" t="n"/>
      <c r="H998" s="32" t="n"/>
      <c r="I998" s="37">
        <f>IF(B998="","",DATE(YEAR(B998),MONTH(B998),1))</f>
        <v/>
      </c>
    </row>
    <row r="999">
      <c r="B999" s="35" t="n"/>
      <c r="C999" s="32" t="n"/>
      <c r="D999" s="32" t="n"/>
      <c r="E999" s="32" t="n"/>
      <c r="F999" s="36" t="n"/>
      <c r="G999" s="32" t="n"/>
      <c r="H999" s="32" t="n"/>
      <c r="I999" s="37">
        <f>IF(B999="","",DATE(YEAR(B999),MONTH(B999),1))</f>
        <v/>
      </c>
    </row>
    <row r="1000">
      <c r="B1000" s="35" t="n"/>
      <c r="C1000" s="32" t="n"/>
      <c r="D1000" s="32" t="n"/>
      <c r="E1000" s="32" t="n"/>
      <c r="F1000" s="36" t="n"/>
      <c r="G1000" s="32" t="n"/>
      <c r="H1000" s="32" t="n"/>
      <c r="I1000" s="37">
        <f>IF(B1000="","",DATE(YEAR(B1000),MONTH(B1000),1))</f>
        <v/>
      </c>
    </row>
    <row r="1001">
      <c r="B1001" s="35" t="n"/>
      <c r="C1001" s="32" t="n"/>
      <c r="D1001" s="32" t="n"/>
      <c r="E1001" s="32" t="n"/>
      <c r="F1001" s="36" t="n"/>
      <c r="G1001" s="32" t="n"/>
      <c r="H1001" s="32" t="n"/>
      <c r="I1001" s="37">
        <f>IF(B1001="","",DATE(YEAR(B1001),MONTH(B1001),1))</f>
        <v/>
      </c>
    </row>
    <row r="1002">
      <c r="B1002" s="35" t="n"/>
      <c r="C1002" s="32" t="n"/>
      <c r="D1002" s="32" t="n"/>
      <c r="E1002" s="32" t="n"/>
      <c r="F1002" s="36" t="n"/>
      <c r="G1002" s="32" t="n"/>
      <c r="H1002" s="32" t="n"/>
      <c r="I1002" s="37">
        <f>IF(B1002="","",DATE(YEAR(B1002),MONTH(B1002),1))</f>
        <v/>
      </c>
    </row>
    <row r="1003">
      <c r="B1003" s="35" t="n"/>
      <c r="C1003" s="32" t="n"/>
      <c r="D1003" s="32" t="n"/>
      <c r="E1003" s="32" t="n"/>
      <c r="F1003" s="36" t="n"/>
      <c r="G1003" s="32" t="n"/>
      <c r="H1003" s="32" t="n"/>
      <c r="I1003" s="37">
        <f>IF(B1003="","",DATE(YEAR(B1003),MONTH(B1003),1))</f>
        <v/>
      </c>
    </row>
    <row r="1004">
      <c r="B1004" s="35" t="n"/>
      <c r="C1004" s="32" t="n"/>
      <c r="D1004" s="32" t="n"/>
      <c r="E1004" s="32" t="n"/>
      <c r="F1004" s="36" t="n"/>
      <c r="G1004" s="32" t="n"/>
      <c r="H1004" s="32" t="n"/>
      <c r="I1004" s="37">
        <f>IF(B1004="","",DATE(YEAR(B1004),MONTH(B1004),1))</f>
        <v/>
      </c>
    </row>
    <row r="1005">
      <c r="B1005" s="35" t="n"/>
      <c r="C1005" s="32" t="n"/>
      <c r="D1005" s="32" t="n"/>
      <c r="E1005" s="32" t="n"/>
      <c r="F1005" s="36" t="n"/>
      <c r="G1005" s="32" t="n"/>
      <c r="H1005" s="32" t="n"/>
      <c r="I1005" s="37">
        <f>IF(B1005="","",DATE(YEAR(B1005),MONTH(B1005),1))</f>
        <v/>
      </c>
    </row>
    <row r="1006">
      <c r="B1006" s="35" t="n"/>
      <c r="C1006" s="32" t="n"/>
      <c r="D1006" s="32" t="n"/>
      <c r="E1006" s="32" t="n"/>
      <c r="F1006" s="36" t="n"/>
      <c r="G1006" s="32" t="n"/>
      <c r="H1006" s="32" t="n"/>
      <c r="I1006" s="37">
        <f>IF(B1006="","",DATE(YEAR(B1006),MONTH(B1006),1))</f>
        <v/>
      </c>
    </row>
  </sheetData>
  <autoFilter ref="B6:I1006"/>
  <conditionalFormatting sqref="B7:I1006">
    <cfRule type="expression" priority="1" dxfId="3">
      <formula>$D7="Income"</formula>
    </cfRule>
  </conditionalFormatting>
  <dataValidations count="3">
    <dataValidation sqref="D7:D1006" showDropDown="0" showInputMessage="0" showErrorMessage="0" allowBlank="1" error="Pick a value from the list (or edit the list in Settings)." type="list" errorStyle="warning">
      <formula1>"Income,Expense"</formula1>
    </dataValidation>
    <dataValidation sqref="E7:E1006" showDropDown="0" showInputMessage="0" showErrorMessage="0" allowBlank="1" error="Pick a value from the list (or edit the list in Settings)." type="list" errorStyle="warning">
      <formula1>=Settings!$J$8:$J$67</formula1>
    </dataValidation>
    <dataValidation sqref="G7:G1006" showDropDown="0" showInputMessage="0" showErrorMessage="0" allowBlank="1" error="Pick a value from the list (or edit the list in Settings)." type="list" errorStyle="warning">
      <formula1>=Settings!$F$8:$F$37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FA98B"/>
    <outlinePr summaryBelow="1" summaryRight="1"/>
    <pageSetUpPr fitToPage="1"/>
  </sheetPr>
  <dimension ref="B2:O5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7" t="inlineStr">
        <is>
          <t>Budget Plan</t>
        </is>
      </c>
    </row>
    <row r="3">
      <c r="B3" s="10" t="inlineStr">
        <is>
          <t>Type a default monthly amount per category. Every month copies the default — overwrite any single month to change it.</t>
        </is>
      </c>
    </row>
    <row r="6" ht="22" customHeight="1">
      <c r="B6" s="19" t="inlineStr">
        <is>
          <t>Category</t>
        </is>
      </c>
      <c r="C6" s="19" t="inlineStr">
        <is>
          <t>Default / month</t>
        </is>
      </c>
      <c r="D6" s="38">
        <f>Settings!$H$8</f>
        <v/>
      </c>
      <c r="E6" s="38">
        <f>Settings!$H$9</f>
        <v/>
      </c>
      <c r="F6" s="38">
        <f>Settings!$H$10</f>
        <v/>
      </c>
      <c r="G6" s="38">
        <f>Settings!$H$11</f>
        <v/>
      </c>
      <c r="H6" s="38">
        <f>Settings!$H$12</f>
        <v/>
      </c>
      <c r="I6" s="38">
        <f>Settings!$H$13</f>
        <v/>
      </c>
      <c r="J6" s="38">
        <f>Settings!$H$14</f>
        <v/>
      </c>
      <c r="K6" s="38">
        <f>Settings!$H$15</f>
        <v/>
      </c>
      <c r="L6" s="38">
        <f>Settings!$H$16</f>
        <v/>
      </c>
      <c r="M6" s="38">
        <f>Settings!$H$17</f>
        <v/>
      </c>
      <c r="N6" s="38">
        <f>Settings!$H$18</f>
        <v/>
      </c>
      <c r="O6" s="38">
        <f>Settings!$H$19</f>
        <v/>
      </c>
    </row>
    <row r="7">
      <c r="B7" s="39" t="inlineStr">
        <is>
          <t>INCOME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</row>
    <row r="8">
      <c r="B8" s="41">
        <f>IF(Settings!D8="","",Settings!D8)</f>
        <v/>
      </c>
      <c r="C8" s="42" t="n">
        <v>6400</v>
      </c>
      <c r="D8" s="43">
        <f>$C8</f>
        <v/>
      </c>
      <c r="E8" s="43">
        <f>$C8</f>
        <v/>
      </c>
      <c r="F8" s="43">
        <f>$C8</f>
        <v/>
      </c>
      <c r="G8" s="43">
        <f>$C8</f>
        <v/>
      </c>
      <c r="H8" s="43">
        <f>$C8</f>
        <v/>
      </c>
      <c r="I8" s="43">
        <f>$C8</f>
        <v/>
      </c>
      <c r="J8" s="43">
        <f>$C8</f>
        <v/>
      </c>
      <c r="K8" s="43">
        <f>$C8</f>
        <v/>
      </c>
      <c r="L8" s="43">
        <f>$C8</f>
        <v/>
      </c>
      <c r="M8" s="43">
        <f>$C8</f>
        <v/>
      </c>
      <c r="N8" s="43">
        <f>$C8</f>
        <v/>
      </c>
      <c r="O8" s="43">
        <f>$C8</f>
        <v/>
      </c>
    </row>
    <row r="9">
      <c r="B9" s="41">
        <f>IF(Settings!D9="","",Settings!D9)</f>
        <v/>
      </c>
      <c r="C9" s="42" t="n"/>
      <c r="D9" s="43">
        <f>$C9</f>
        <v/>
      </c>
      <c r="E9" s="43">
        <f>$C9</f>
        <v/>
      </c>
      <c r="F9" s="43">
        <f>$C9</f>
        <v/>
      </c>
      <c r="G9" s="43">
        <f>$C9</f>
        <v/>
      </c>
      <c r="H9" s="43">
        <f>$C9</f>
        <v/>
      </c>
      <c r="I9" s="43">
        <f>$C9</f>
        <v/>
      </c>
      <c r="J9" s="43">
        <f>$C9</f>
        <v/>
      </c>
      <c r="K9" s="43">
        <f>$C9</f>
        <v/>
      </c>
      <c r="L9" s="43">
        <f>$C9</f>
        <v/>
      </c>
      <c r="M9" s="43">
        <f>$C9</f>
        <v/>
      </c>
      <c r="N9" s="43">
        <f>$C9</f>
        <v/>
      </c>
      <c r="O9" s="43">
        <f>$C9</f>
        <v/>
      </c>
    </row>
    <row r="10">
      <c r="B10" s="41">
        <f>IF(Settings!D10="","",Settings!D10)</f>
        <v/>
      </c>
      <c r="C10" s="42" t="n">
        <v>450</v>
      </c>
      <c r="D10" s="43">
        <f>$C10</f>
        <v/>
      </c>
      <c r="E10" s="43">
        <f>$C10</f>
        <v/>
      </c>
      <c r="F10" s="43">
        <f>$C10</f>
        <v/>
      </c>
      <c r="G10" s="43">
        <f>$C10</f>
        <v/>
      </c>
      <c r="H10" s="43">
        <f>$C10</f>
        <v/>
      </c>
      <c r="I10" s="43">
        <f>$C10</f>
        <v/>
      </c>
      <c r="J10" s="43">
        <f>$C10</f>
        <v/>
      </c>
      <c r="K10" s="43">
        <f>$C10</f>
        <v/>
      </c>
      <c r="L10" s="43">
        <f>$C10</f>
        <v/>
      </c>
      <c r="M10" s="43">
        <f>$C10</f>
        <v/>
      </c>
      <c r="N10" s="43">
        <f>$C10</f>
        <v/>
      </c>
      <c r="O10" s="43">
        <f>$C10</f>
        <v/>
      </c>
    </row>
    <row r="11">
      <c r="B11" s="41">
        <f>IF(Settings!D11="","",Settings!D11)</f>
        <v/>
      </c>
      <c r="C11" s="42" t="n"/>
      <c r="D11" s="43">
        <f>$C11</f>
        <v/>
      </c>
      <c r="E11" s="43">
        <f>$C11</f>
        <v/>
      </c>
      <c r="F11" s="43">
        <f>$C11</f>
        <v/>
      </c>
      <c r="G11" s="43">
        <f>$C11</f>
        <v/>
      </c>
      <c r="H11" s="43">
        <f>$C11</f>
        <v/>
      </c>
      <c r="I11" s="43">
        <f>$C11</f>
        <v/>
      </c>
      <c r="J11" s="43">
        <f>$C11</f>
        <v/>
      </c>
      <c r="K11" s="43">
        <f>$C11</f>
        <v/>
      </c>
      <c r="L11" s="43">
        <f>$C11</f>
        <v/>
      </c>
      <c r="M11" s="43">
        <f>$C11</f>
        <v/>
      </c>
      <c r="N11" s="43">
        <f>$C11</f>
        <v/>
      </c>
      <c r="O11" s="43">
        <f>$C11</f>
        <v/>
      </c>
    </row>
    <row r="12">
      <c r="B12" s="41">
        <f>IF(Settings!D12="","",Settings!D12)</f>
        <v/>
      </c>
      <c r="C12" s="42" t="n"/>
      <c r="D12" s="43">
        <f>$C12</f>
        <v/>
      </c>
      <c r="E12" s="43">
        <f>$C12</f>
        <v/>
      </c>
      <c r="F12" s="43">
        <f>$C12</f>
        <v/>
      </c>
      <c r="G12" s="43">
        <f>$C12</f>
        <v/>
      </c>
      <c r="H12" s="43">
        <f>$C12</f>
        <v/>
      </c>
      <c r="I12" s="43">
        <f>$C12</f>
        <v/>
      </c>
      <c r="J12" s="43">
        <f>$C12</f>
        <v/>
      </c>
      <c r="K12" s="43">
        <f>$C12</f>
        <v/>
      </c>
      <c r="L12" s="43">
        <f>$C12</f>
        <v/>
      </c>
      <c r="M12" s="43">
        <f>$C12</f>
        <v/>
      </c>
      <c r="N12" s="43">
        <f>$C12</f>
        <v/>
      </c>
      <c r="O12" s="43">
        <f>$C12</f>
        <v/>
      </c>
    </row>
    <row r="13">
      <c r="B13" s="41">
        <f>IF(Settings!D13="","",Settings!D13)</f>
        <v/>
      </c>
      <c r="C13" s="42" t="n"/>
      <c r="D13" s="43">
        <f>$C13</f>
        <v/>
      </c>
      <c r="E13" s="43">
        <f>$C13</f>
        <v/>
      </c>
      <c r="F13" s="43">
        <f>$C13</f>
        <v/>
      </c>
      <c r="G13" s="43">
        <f>$C13</f>
        <v/>
      </c>
      <c r="H13" s="43">
        <f>$C13</f>
        <v/>
      </c>
      <c r="I13" s="43">
        <f>$C13</f>
        <v/>
      </c>
      <c r="J13" s="43">
        <f>$C13</f>
        <v/>
      </c>
      <c r="K13" s="43">
        <f>$C13</f>
        <v/>
      </c>
      <c r="L13" s="43">
        <f>$C13</f>
        <v/>
      </c>
      <c r="M13" s="43">
        <f>$C13</f>
        <v/>
      </c>
      <c r="N13" s="43">
        <f>$C13</f>
        <v/>
      </c>
      <c r="O13" s="43">
        <f>$C13</f>
        <v/>
      </c>
    </row>
    <row r="14">
      <c r="B14" s="41">
        <f>IF(Settings!D14="","",Settings!D14)</f>
        <v/>
      </c>
      <c r="C14" s="42" t="n"/>
      <c r="D14" s="43">
        <f>$C14</f>
        <v/>
      </c>
      <c r="E14" s="43">
        <f>$C14</f>
        <v/>
      </c>
      <c r="F14" s="43">
        <f>$C14</f>
        <v/>
      </c>
      <c r="G14" s="43">
        <f>$C14</f>
        <v/>
      </c>
      <c r="H14" s="43">
        <f>$C14</f>
        <v/>
      </c>
      <c r="I14" s="43">
        <f>$C14</f>
        <v/>
      </c>
      <c r="J14" s="43">
        <f>$C14</f>
        <v/>
      </c>
      <c r="K14" s="43">
        <f>$C14</f>
        <v/>
      </c>
      <c r="L14" s="43">
        <f>$C14</f>
        <v/>
      </c>
      <c r="M14" s="43">
        <f>$C14</f>
        <v/>
      </c>
      <c r="N14" s="43">
        <f>$C14</f>
        <v/>
      </c>
      <c r="O14" s="43">
        <f>$C14</f>
        <v/>
      </c>
    </row>
    <row r="15">
      <c r="B15" s="41">
        <f>IF(Settings!D15="","",Settings!D15)</f>
        <v/>
      </c>
      <c r="C15" s="42" t="n"/>
      <c r="D15" s="43">
        <f>$C15</f>
        <v/>
      </c>
      <c r="E15" s="43">
        <f>$C15</f>
        <v/>
      </c>
      <c r="F15" s="43">
        <f>$C15</f>
        <v/>
      </c>
      <c r="G15" s="43">
        <f>$C15</f>
        <v/>
      </c>
      <c r="H15" s="43">
        <f>$C15</f>
        <v/>
      </c>
      <c r="I15" s="43">
        <f>$C15</f>
        <v/>
      </c>
      <c r="J15" s="43">
        <f>$C15</f>
        <v/>
      </c>
      <c r="K15" s="43">
        <f>$C15</f>
        <v/>
      </c>
      <c r="L15" s="43">
        <f>$C15</f>
        <v/>
      </c>
      <c r="M15" s="43">
        <f>$C15</f>
        <v/>
      </c>
      <c r="N15" s="43">
        <f>$C15</f>
        <v/>
      </c>
      <c r="O15" s="43">
        <f>$C15</f>
        <v/>
      </c>
    </row>
    <row r="16">
      <c r="B16" s="41">
        <f>IF(Settings!D16="","",Settings!D16)</f>
        <v/>
      </c>
      <c r="C16" s="42" t="n"/>
      <c r="D16" s="43">
        <f>$C16</f>
        <v/>
      </c>
      <c r="E16" s="43">
        <f>$C16</f>
        <v/>
      </c>
      <c r="F16" s="43">
        <f>$C16</f>
        <v/>
      </c>
      <c r="G16" s="43">
        <f>$C16</f>
        <v/>
      </c>
      <c r="H16" s="43">
        <f>$C16</f>
        <v/>
      </c>
      <c r="I16" s="43">
        <f>$C16</f>
        <v/>
      </c>
      <c r="J16" s="43">
        <f>$C16</f>
        <v/>
      </c>
      <c r="K16" s="43">
        <f>$C16</f>
        <v/>
      </c>
      <c r="L16" s="43">
        <f>$C16</f>
        <v/>
      </c>
      <c r="M16" s="43">
        <f>$C16</f>
        <v/>
      </c>
      <c r="N16" s="43">
        <f>$C16</f>
        <v/>
      </c>
      <c r="O16" s="43">
        <f>$C16</f>
        <v/>
      </c>
    </row>
    <row r="17">
      <c r="B17" s="41">
        <f>IF(Settings!D17="","",Settings!D17)</f>
        <v/>
      </c>
      <c r="C17" s="42" t="n"/>
      <c r="D17" s="43">
        <f>$C17</f>
        <v/>
      </c>
      <c r="E17" s="43">
        <f>$C17</f>
        <v/>
      </c>
      <c r="F17" s="43">
        <f>$C17</f>
        <v/>
      </c>
      <c r="G17" s="43">
        <f>$C17</f>
        <v/>
      </c>
      <c r="H17" s="43">
        <f>$C17</f>
        <v/>
      </c>
      <c r="I17" s="43">
        <f>$C17</f>
        <v/>
      </c>
      <c r="J17" s="43">
        <f>$C17</f>
        <v/>
      </c>
      <c r="K17" s="43">
        <f>$C17</f>
        <v/>
      </c>
      <c r="L17" s="43">
        <f>$C17</f>
        <v/>
      </c>
      <c r="M17" s="43">
        <f>$C17</f>
        <v/>
      </c>
      <c r="N17" s="43">
        <f>$C17</f>
        <v/>
      </c>
      <c r="O17" s="43">
        <f>$C17</f>
        <v/>
      </c>
    </row>
    <row r="18">
      <c r="B18" s="29" t="inlineStr">
        <is>
          <t>Total planned income</t>
        </is>
      </c>
      <c r="C18" s="23">
        <f>SUM(C8:C17)</f>
        <v/>
      </c>
      <c r="D18" s="23">
        <f>SUM(D8:D17)</f>
        <v/>
      </c>
      <c r="E18" s="23">
        <f>SUM(E8:E17)</f>
        <v/>
      </c>
      <c r="F18" s="23">
        <f>SUM(F8:F17)</f>
        <v/>
      </c>
      <c r="G18" s="23">
        <f>SUM(G8:G17)</f>
        <v/>
      </c>
      <c r="H18" s="23">
        <f>SUM(H8:H17)</f>
        <v/>
      </c>
      <c r="I18" s="23">
        <f>SUM(I8:I17)</f>
        <v/>
      </c>
      <c r="J18" s="23">
        <f>SUM(J8:J17)</f>
        <v/>
      </c>
      <c r="K18" s="23">
        <f>SUM(K8:K17)</f>
        <v/>
      </c>
      <c r="L18" s="23">
        <f>SUM(L8:L17)</f>
        <v/>
      </c>
      <c r="M18" s="23">
        <f>SUM(M8:M17)</f>
        <v/>
      </c>
      <c r="N18" s="23">
        <f>SUM(N8:N17)</f>
        <v/>
      </c>
      <c r="O18" s="23">
        <f>SUM(O8:O17)</f>
        <v/>
      </c>
    </row>
    <row r="20">
      <c r="B20" s="39" t="inlineStr">
        <is>
          <t>EXPENSES</t>
        </is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</row>
    <row r="21">
      <c r="B21" s="41">
        <f>IF(Settings!B8="","",Settings!B8)</f>
        <v/>
      </c>
      <c r="C21" s="42" t="n">
        <v>1450</v>
      </c>
      <c r="D21" s="43">
        <f>$C21</f>
        <v/>
      </c>
      <c r="E21" s="43">
        <f>$C21</f>
        <v/>
      </c>
      <c r="F21" s="43">
        <f>$C21</f>
        <v/>
      </c>
      <c r="G21" s="43">
        <f>$C21</f>
        <v/>
      </c>
      <c r="H21" s="43">
        <f>$C21</f>
        <v/>
      </c>
      <c r="I21" s="43">
        <f>$C21</f>
        <v/>
      </c>
      <c r="J21" s="43">
        <f>$C21</f>
        <v/>
      </c>
      <c r="K21" s="43">
        <f>$C21</f>
        <v/>
      </c>
      <c r="L21" s="43">
        <f>$C21</f>
        <v/>
      </c>
      <c r="M21" s="43">
        <f>$C21</f>
        <v/>
      </c>
      <c r="N21" s="43">
        <f>$C21</f>
        <v/>
      </c>
      <c r="O21" s="43">
        <f>$C21</f>
        <v/>
      </c>
    </row>
    <row r="22">
      <c r="B22" s="41">
        <f>IF(Settings!B9="","",Settings!B9)</f>
        <v/>
      </c>
      <c r="C22" s="42" t="n">
        <v>120</v>
      </c>
      <c r="D22" s="43">
        <f>$C22</f>
        <v/>
      </c>
      <c r="E22" s="43">
        <f>$C22</f>
        <v/>
      </c>
      <c r="F22" s="43">
        <f>$C22</f>
        <v/>
      </c>
      <c r="G22" s="43">
        <f>$C22</f>
        <v/>
      </c>
      <c r="H22" s="43">
        <f>$C22</f>
        <v/>
      </c>
      <c r="I22" s="43">
        <f>$C22</f>
        <v/>
      </c>
      <c r="J22" s="43">
        <f>$C22</f>
        <v/>
      </c>
      <c r="K22" s="43">
        <f>$C22</f>
        <v/>
      </c>
      <c r="L22" s="43">
        <f>$C22</f>
        <v/>
      </c>
      <c r="M22" s="43">
        <f>$C22</f>
        <v/>
      </c>
      <c r="N22" s="43">
        <f>$C22</f>
        <v/>
      </c>
      <c r="O22" s="43">
        <f>$C22</f>
        <v/>
      </c>
    </row>
    <row r="23">
      <c r="B23" s="41">
        <f>IF(Settings!B10="","",Settings!B10)</f>
        <v/>
      </c>
      <c r="C23" s="42" t="n">
        <v>550</v>
      </c>
      <c r="D23" s="43">
        <f>$C23</f>
        <v/>
      </c>
      <c r="E23" s="43">
        <f>$C23</f>
        <v/>
      </c>
      <c r="F23" s="43">
        <f>$C23</f>
        <v/>
      </c>
      <c r="G23" s="43">
        <f>$C23</f>
        <v/>
      </c>
      <c r="H23" s="43">
        <f>$C23</f>
        <v/>
      </c>
      <c r="I23" s="43">
        <f>$C23</f>
        <v/>
      </c>
      <c r="J23" s="43">
        <f>$C23</f>
        <v/>
      </c>
      <c r="K23" s="43">
        <f>$C23</f>
        <v/>
      </c>
      <c r="L23" s="43">
        <f>$C23</f>
        <v/>
      </c>
      <c r="M23" s="43">
        <f>$C23</f>
        <v/>
      </c>
      <c r="N23" s="43">
        <f>$C23</f>
        <v/>
      </c>
      <c r="O23" s="43">
        <f>$C23</f>
        <v/>
      </c>
    </row>
    <row r="24">
      <c r="B24" s="41">
        <f>IF(Settings!B11="","",Settings!B11)</f>
        <v/>
      </c>
      <c r="C24" s="42" t="n">
        <v>200</v>
      </c>
      <c r="D24" s="43">
        <f>$C24</f>
        <v/>
      </c>
      <c r="E24" s="43">
        <f>$C24</f>
        <v/>
      </c>
      <c r="F24" s="43">
        <f>$C24</f>
        <v/>
      </c>
      <c r="G24" s="43">
        <f>$C24</f>
        <v/>
      </c>
      <c r="H24" s="43">
        <f>$C24</f>
        <v/>
      </c>
      <c r="I24" s="43">
        <f>$C24</f>
        <v/>
      </c>
      <c r="J24" s="43">
        <f>$C24</f>
        <v/>
      </c>
      <c r="K24" s="43">
        <f>$C24</f>
        <v/>
      </c>
      <c r="L24" s="43">
        <f>$C24</f>
        <v/>
      </c>
      <c r="M24" s="43">
        <f>$C24</f>
        <v/>
      </c>
      <c r="N24" s="43">
        <f>$C24</f>
        <v/>
      </c>
      <c r="O24" s="43">
        <f>$C24</f>
        <v/>
      </c>
    </row>
    <row r="25">
      <c r="B25" s="41">
        <f>IF(Settings!B12="","",Settings!B12)</f>
        <v/>
      </c>
      <c r="C25" s="42" t="n">
        <v>220</v>
      </c>
      <c r="D25" s="43">
        <f>$C25</f>
        <v/>
      </c>
      <c r="E25" s="43">
        <f>$C25</f>
        <v/>
      </c>
      <c r="F25" s="43">
        <f>$C25</f>
        <v/>
      </c>
      <c r="G25" s="43">
        <f>$C25</f>
        <v/>
      </c>
      <c r="H25" s="43">
        <f>$C25</f>
        <v/>
      </c>
      <c r="I25" s="43">
        <f>$C25</f>
        <v/>
      </c>
      <c r="J25" s="43">
        <f>$C25</f>
        <v/>
      </c>
      <c r="K25" s="43">
        <f>$C25</f>
        <v/>
      </c>
      <c r="L25" s="43">
        <f>$C25</f>
        <v/>
      </c>
      <c r="M25" s="43">
        <f>$C25</f>
        <v/>
      </c>
      <c r="N25" s="43">
        <f>$C25</f>
        <v/>
      </c>
      <c r="O25" s="43">
        <f>$C25</f>
        <v/>
      </c>
    </row>
    <row r="26">
      <c r="B26" s="41">
        <f>IF(Settings!B13="","",Settings!B13)</f>
        <v/>
      </c>
      <c r="C26" s="42" t="n">
        <v>130</v>
      </c>
      <c r="D26" s="43">
        <f>$C26</f>
        <v/>
      </c>
      <c r="E26" s="43">
        <f>$C26</f>
        <v/>
      </c>
      <c r="F26" s="43">
        <f>$C26</f>
        <v/>
      </c>
      <c r="G26" s="43">
        <f>$C26</f>
        <v/>
      </c>
      <c r="H26" s="43">
        <f>$C26</f>
        <v/>
      </c>
      <c r="I26" s="43">
        <f>$C26</f>
        <v/>
      </c>
      <c r="J26" s="43">
        <f>$C26</f>
        <v/>
      </c>
      <c r="K26" s="43">
        <f>$C26</f>
        <v/>
      </c>
      <c r="L26" s="43">
        <f>$C26</f>
        <v/>
      </c>
      <c r="M26" s="43">
        <f>$C26</f>
        <v/>
      </c>
      <c r="N26" s="43">
        <f>$C26</f>
        <v/>
      </c>
      <c r="O26" s="43">
        <f>$C26</f>
        <v/>
      </c>
    </row>
    <row r="27">
      <c r="B27" s="41">
        <f>IF(Settings!B14="","",Settings!B14)</f>
        <v/>
      </c>
      <c r="C27" s="42" t="n">
        <v>60</v>
      </c>
      <c r="D27" s="43">
        <f>$C27</f>
        <v/>
      </c>
      <c r="E27" s="43">
        <f>$C27</f>
        <v/>
      </c>
      <c r="F27" s="43">
        <f>$C27</f>
        <v/>
      </c>
      <c r="G27" s="43">
        <f>$C27</f>
        <v/>
      </c>
      <c r="H27" s="43">
        <f>$C27</f>
        <v/>
      </c>
      <c r="I27" s="43">
        <f>$C27</f>
        <v/>
      </c>
      <c r="J27" s="43">
        <f>$C27</f>
        <v/>
      </c>
      <c r="K27" s="43">
        <f>$C27</f>
        <v/>
      </c>
      <c r="L27" s="43">
        <f>$C27</f>
        <v/>
      </c>
      <c r="M27" s="43">
        <f>$C27</f>
        <v/>
      </c>
      <c r="N27" s="43">
        <f>$C27</f>
        <v/>
      </c>
      <c r="O27" s="43">
        <f>$C27</f>
        <v/>
      </c>
    </row>
    <row r="28">
      <c r="B28" s="41">
        <f>IF(Settings!B15="","",Settings!B15)</f>
        <v/>
      </c>
      <c r="C28" s="42" t="n">
        <v>45</v>
      </c>
      <c r="D28" s="43">
        <f>$C28</f>
        <v/>
      </c>
      <c r="E28" s="43">
        <f>$C28</f>
        <v/>
      </c>
      <c r="F28" s="43">
        <f>$C28</f>
        <v/>
      </c>
      <c r="G28" s="43">
        <f>$C28</f>
        <v/>
      </c>
      <c r="H28" s="43">
        <f>$C28</f>
        <v/>
      </c>
      <c r="I28" s="43">
        <f>$C28</f>
        <v/>
      </c>
      <c r="J28" s="43">
        <f>$C28</f>
        <v/>
      </c>
      <c r="K28" s="43">
        <f>$C28</f>
        <v/>
      </c>
      <c r="L28" s="43">
        <f>$C28</f>
        <v/>
      </c>
      <c r="M28" s="43">
        <f>$C28</f>
        <v/>
      </c>
      <c r="N28" s="43">
        <f>$C28</f>
        <v/>
      </c>
      <c r="O28" s="43">
        <f>$C28</f>
        <v/>
      </c>
    </row>
    <row r="29">
      <c r="B29" s="41">
        <f>IF(Settings!B16="","",Settings!B16)</f>
        <v/>
      </c>
      <c r="C29" s="42" t="n">
        <v>90</v>
      </c>
      <c r="D29" s="43">
        <f>$C29</f>
        <v/>
      </c>
      <c r="E29" s="43">
        <f>$C29</f>
        <v/>
      </c>
      <c r="F29" s="43">
        <f>$C29</f>
        <v/>
      </c>
      <c r="G29" s="43">
        <f>$C29</f>
        <v/>
      </c>
      <c r="H29" s="43">
        <f>$C29</f>
        <v/>
      </c>
      <c r="I29" s="43">
        <f>$C29</f>
        <v/>
      </c>
      <c r="J29" s="43">
        <f>$C29</f>
        <v/>
      </c>
      <c r="K29" s="43">
        <f>$C29</f>
        <v/>
      </c>
      <c r="L29" s="43">
        <f>$C29</f>
        <v/>
      </c>
      <c r="M29" s="43">
        <f>$C29</f>
        <v/>
      </c>
      <c r="N29" s="43">
        <f>$C29</f>
        <v/>
      </c>
      <c r="O29" s="43">
        <f>$C29</f>
        <v/>
      </c>
    </row>
    <row r="30">
      <c r="B30" s="41">
        <f>IF(Settings!B17="","",Settings!B17)</f>
        <v/>
      </c>
      <c r="C30" s="42" t="n">
        <v>150</v>
      </c>
      <c r="D30" s="43">
        <f>$C30</f>
        <v/>
      </c>
      <c r="E30" s="43">
        <f>$C30</f>
        <v/>
      </c>
      <c r="F30" s="43">
        <f>$C30</f>
        <v/>
      </c>
      <c r="G30" s="43">
        <f>$C30</f>
        <v/>
      </c>
      <c r="H30" s="43">
        <f>$C30</f>
        <v/>
      </c>
      <c r="I30" s="43">
        <f>$C30</f>
        <v/>
      </c>
      <c r="J30" s="43">
        <f>$C30</f>
        <v/>
      </c>
      <c r="K30" s="43">
        <f>$C30</f>
        <v/>
      </c>
      <c r="L30" s="43">
        <f>$C30</f>
        <v/>
      </c>
      <c r="M30" s="43">
        <f>$C30</f>
        <v/>
      </c>
      <c r="N30" s="43">
        <f>$C30</f>
        <v/>
      </c>
      <c r="O30" s="43">
        <f>$C30</f>
        <v/>
      </c>
    </row>
    <row r="31">
      <c r="B31" s="41">
        <f>IF(Settings!B18="","",Settings!B18)</f>
        <v/>
      </c>
      <c r="C31" s="42" t="n">
        <v>40</v>
      </c>
      <c r="D31" s="43">
        <f>$C31</f>
        <v/>
      </c>
      <c r="E31" s="43">
        <f>$C31</f>
        <v/>
      </c>
      <c r="F31" s="43">
        <f>$C31</f>
        <v/>
      </c>
      <c r="G31" s="43">
        <f>$C31</f>
        <v/>
      </c>
      <c r="H31" s="43">
        <f>$C31</f>
        <v/>
      </c>
      <c r="I31" s="43">
        <f>$C31</f>
        <v/>
      </c>
      <c r="J31" s="43">
        <f>$C31</f>
        <v/>
      </c>
      <c r="K31" s="43">
        <f>$C31</f>
        <v/>
      </c>
      <c r="L31" s="43">
        <f>$C31</f>
        <v/>
      </c>
      <c r="M31" s="43">
        <f>$C31</f>
        <v/>
      </c>
      <c r="N31" s="43">
        <f>$C31</f>
        <v/>
      </c>
      <c r="O31" s="43">
        <f>$C31</f>
        <v/>
      </c>
    </row>
    <row r="32">
      <c r="B32" s="41">
        <f>IF(Settings!B19="","",Settings!B19)</f>
        <v/>
      </c>
      <c r="C32" s="42" t="n"/>
      <c r="D32" s="43">
        <f>$C32</f>
        <v/>
      </c>
      <c r="E32" s="43">
        <f>$C32</f>
        <v/>
      </c>
      <c r="F32" s="43">
        <f>$C32</f>
        <v/>
      </c>
      <c r="G32" s="43">
        <f>$C32</f>
        <v/>
      </c>
      <c r="H32" s="43">
        <f>$C32</f>
        <v/>
      </c>
      <c r="I32" s="43">
        <f>$C32</f>
        <v/>
      </c>
      <c r="J32" s="43">
        <f>$C32</f>
        <v/>
      </c>
      <c r="K32" s="43">
        <f>$C32</f>
        <v/>
      </c>
      <c r="L32" s="43">
        <f>$C32</f>
        <v/>
      </c>
      <c r="M32" s="43">
        <f>$C32</f>
        <v/>
      </c>
      <c r="N32" s="43">
        <f>$C32</f>
        <v/>
      </c>
      <c r="O32" s="43">
        <f>$C32</f>
        <v/>
      </c>
    </row>
    <row r="33">
      <c r="B33" s="41">
        <f>IF(Settings!B20="","",Settings!B20)</f>
        <v/>
      </c>
      <c r="C33" s="42" t="n"/>
      <c r="D33" s="43">
        <f>$C33</f>
        <v/>
      </c>
      <c r="E33" s="43">
        <f>$C33</f>
        <v/>
      </c>
      <c r="F33" s="43">
        <f>$C33</f>
        <v/>
      </c>
      <c r="G33" s="43">
        <f>$C33</f>
        <v/>
      </c>
      <c r="H33" s="43">
        <f>$C33</f>
        <v/>
      </c>
      <c r="I33" s="43">
        <f>$C33</f>
        <v/>
      </c>
      <c r="J33" s="43">
        <f>$C33</f>
        <v/>
      </c>
      <c r="K33" s="43">
        <f>$C33</f>
        <v/>
      </c>
      <c r="L33" s="43">
        <f>$C33</f>
        <v/>
      </c>
      <c r="M33" s="43">
        <f>$C33</f>
        <v/>
      </c>
      <c r="N33" s="43">
        <f>$C33</f>
        <v/>
      </c>
      <c r="O33" s="43">
        <f>$C33</f>
        <v/>
      </c>
    </row>
    <row r="34">
      <c r="B34" s="41">
        <f>IF(Settings!B21="","",Settings!B21)</f>
        <v/>
      </c>
      <c r="C34" s="42" t="n">
        <v>50</v>
      </c>
      <c r="D34" s="43">
        <f>$C34</f>
        <v/>
      </c>
      <c r="E34" s="43">
        <f>$C34</f>
        <v/>
      </c>
      <c r="F34" s="43">
        <f>$C34</f>
        <v/>
      </c>
      <c r="G34" s="43">
        <f>$C34</f>
        <v/>
      </c>
      <c r="H34" s="43">
        <f>$C34</f>
        <v/>
      </c>
      <c r="I34" s="43">
        <f>$C34</f>
        <v/>
      </c>
      <c r="J34" s="43">
        <f>$C34</f>
        <v/>
      </c>
      <c r="K34" s="43">
        <f>$C34</f>
        <v/>
      </c>
      <c r="L34" s="43">
        <f>$C34</f>
        <v/>
      </c>
      <c r="M34" s="43">
        <f>$C34</f>
        <v/>
      </c>
      <c r="N34" s="43">
        <f>$C34</f>
        <v/>
      </c>
      <c r="O34" s="43">
        <f>$C34</f>
        <v/>
      </c>
    </row>
    <row r="35">
      <c r="B35" s="41">
        <f>IF(Settings!B22="","",Settings!B22)</f>
        <v/>
      </c>
      <c r="C35" s="42" t="n">
        <v>120</v>
      </c>
      <c r="D35" s="43">
        <f>$C35</f>
        <v/>
      </c>
      <c r="E35" s="43">
        <f>$C35</f>
        <v/>
      </c>
      <c r="F35" s="43">
        <f>$C35</f>
        <v/>
      </c>
      <c r="G35" s="43">
        <f>$C35</f>
        <v/>
      </c>
      <c r="H35" s="43">
        <f>$C35</f>
        <v/>
      </c>
      <c r="I35" s="43">
        <f>$C35</f>
        <v/>
      </c>
      <c r="J35" s="43">
        <f>$C35</f>
        <v/>
      </c>
      <c r="K35" s="43">
        <f>$C35</f>
        <v/>
      </c>
      <c r="L35" s="43">
        <f>$C35</f>
        <v/>
      </c>
      <c r="M35" s="43">
        <f>$C35</f>
        <v/>
      </c>
      <c r="N35" s="43">
        <f>$C35</f>
        <v/>
      </c>
      <c r="O35" s="43">
        <f>$C35</f>
        <v/>
      </c>
    </row>
    <row r="36">
      <c r="B36" s="41">
        <f>IF(Settings!B23="","",Settings!B23)</f>
        <v/>
      </c>
      <c r="C36" s="42" t="n">
        <v>150</v>
      </c>
      <c r="D36" s="43">
        <f>$C36</f>
        <v/>
      </c>
      <c r="E36" s="43">
        <f>$C36</f>
        <v/>
      </c>
      <c r="F36" s="43">
        <f>$C36</f>
        <v/>
      </c>
      <c r="G36" s="43">
        <f>$C36</f>
        <v/>
      </c>
      <c r="H36" s="43">
        <f>$C36</f>
        <v/>
      </c>
      <c r="I36" s="43">
        <f>$C36</f>
        <v/>
      </c>
      <c r="J36" s="43">
        <f>$C36</f>
        <v/>
      </c>
      <c r="K36" s="43">
        <f>$C36</f>
        <v/>
      </c>
      <c r="L36" s="43">
        <f>$C36</f>
        <v/>
      </c>
      <c r="M36" s="43">
        <f>$C36</f>
        <v/>
      </c>
      <c r="N36" s="43">
        <f>$C36</f>
        <v/>
      </c>
      <c r="O36" s="43">
        <f>$C36</f>
        <v/>
      </c>
    </row>
    <row r="37">
      <c r="B37" s="41">
        <f>IF(Settings!B24="","",Settings!B24)</f>
        <v/>
      </c>
      <c r="C37" s="42" t="n"/>
      <c r="D37" s="43">
        <f>$C37</f>
        <v/>
      </c>
      <c r="E37" s="43">
        <f>$C37</f>
        <v/>
      </c>
      <c r="F37" s="43">
        <f>$C37</f>
        <v/>
      </c>
      <c r="G37" s="43">
        <f>$C37</f>
        <v/>
      </c>
      <c r="H37" s="43">
        <f>$C37</f>
        <v/>
      </c>
      <c r="I37" s="43">
        <f>$C37</f>
        <v/>
      </c>
      <c r="J37" s="43">
        <f>$C37</f>
        <v/>
      </c>
      <c r="K37" s="43">
        <f>$C37</f>
        <v/>
      </c>
      <c r="L37" s="43">
        <f>$C37</f>
        <v/>
      </c>
      <c r="M37" s="43">
        <f>$C37</f>
        <v/>
      </c>
      <c r="N37" s="43">
        <f>$C37</f>
        <v/>
      </c>
      <c r="O37" s="43">
        <f>$C37</f>
        <v/>
      </c>
    </row>
    <row r="38">
      <c r="B38" s="41">
        <f>IF(Settings!B25="","",Settings!B25)</f>
        <v/>
      </c>
      <c r="C38" s="42" t="n"/>
      <c r="D38" s="43">
        <f>$C38</f>
        <v/>
      </c>
      <c r="E38" s="43">
        <f>$C38</f>
        <v/>
      </c>
      <c r="F38" s="43">
        <f>$C38</f>
        <v/>
      </c>
      <c r="G38" s="43">
        <f>$C38</f>
        <v/>
      </c>
      <c r="H38" s="43">
        <f>$C38</f>
        <v/>
      </c>
      <c r="I38" s="43">
        <f>$C38</f>
        <v/>
      </c>
      <c r="J38" s="43">
        <f>$C38</f>
        <v/>
      </c>
      <c r="K38" s="43">
        <f>$C38</f>
        <v/>
      </c>
      <c r="L38" s="43">
        <f>$C38</f>
        <v/>
      </c>
      <c r="M38" s="43">
        <f>$C38</f>
        <v/>
      </c>
      <c r="N38" s="43">
        <f>$C38</f>
        <v/>
      </c>
      <c r="O38" s="43">
        <f>$C38</f>
        <v/>
      </c>
    </row>
    <row r="39">
      <c r="B39" s="41">
        <f>IF(Settings!B26="","",Settings!B26)</f>
        <v/>
      </c>
      <c r="C39" s="42" t="n">
        <v>800</v>
      </c>
      <c r="D39" s="43">
        <f>$C39</f>
        <v/>
      </c>
      <c r="E39" s="43">
        <f>$C39</f>
        <v/>
      </c>
      <c r="F39" s="43">
        <f>$C39</f>
        <v/>
      </c>
      <c r="G39" s="43">
        <f>$C39</f>
        <v/>
      </c>
      <c r="H39" s="43">
        <f>$C39</f>
        <v/>
      </c>
      <c r="I39" s="43">
        <f>$C39</f>
        <v/>
      </c>
      <c r="J39" s="43">
        <f>$C39</f>
        <v/>
      </c>
      <c r="K39" s="43">
        <f>$C39</f>
        <v/>
      </c>
      <c r="L39" s="43">
        <f>$C39</f>
        <v/>
      </c>
      <c r="M39" s="43">
        <f>$C39</f>
        <v/>
      </c>
      <c r="N39" s="43">
        <f>$C39</f>
        <v/>
      </c>
      <c r="O39" s="43">
        <f>$C39</f>
        <v/>
      </c>
    </row>
    <row r="40">
      <c r="B40" s="41">
        <f>IF(Settings!B27="","",Settings!B27)</f>
        <v/>
      </c>
      <c r="C40" s="42" t="n">
        <v>75</v>
      </c>
      <c r="D40" s="43">
        <f>$C40</f>
        <v/>
      </c>
      <c r="E40" s="43">
        <f>$C40</f>
        <v/>
      </c>
      <c r="F40" s="43">
        <f>$C40</f>
        <v/>
      </c>
      <c r="G40" s="43">
        <f>$C40</f>
        <v/>
      </c>
      <c r="H40" s="43">
        <f>$C40</f>
        <v/>
      </c>
      <c r="I40" s="43">
        <f>$C40</f>
        <v/>
      </c>
      <c r="J40" s="43">
        <f>$C40</f>
        <v/>
      </c>
      <c r="K40" s="43">
        <f>$C40</f>
        <v/>
      </c>
      <c r="L40" s="43">
        <f>$C40</f>
        <v/>
      </c>
      <c r="M40" s="43">
        <f>$C40</f>
        <v/>
      </c>
      <c r="N40" s="43">
        <f>$C40</f>
        <v/>
      </c>
      <c r="O40" s="43">
        <f>$C40</f>
        <v/>
      </c>
    </row>
    <row r="41">
      <c r="B41" s="41">
        <f>IF(Settings!B28="","",Settings!B28)</f>
        <v/>
      </c>
      <c r="C41" s="42" t="n"/>
      <c r="D41" s="43">
        <f>$C41</f>
        <v/>
      </c>
      <c r="E41" s="43">
        <f>$C41</f>
        <v/>
      </c>
      <c r="F41" s="43">
        <f>$C41</f>
        <v/>
      </c>
      <c r="G41" s="43">
        <f>$C41</f>
        <v/>
      </c>
      <c r="H41" s="43">
        <f>$C41</f>
        <v/>
      </c>
      <c r="I41" s="43">
        <f>$C41</f>
        <v/>
      </c>
      <c r="J41" s="43">
        <f>$C41</f>
        <v/>
      </c>
      <c r="K41" s="43">
        <f>$C41</f>
        <v/>
      </c>
      <c r="L41" s="43">
        <f>$C41</f>
        <v/>
      </c>
      <c r="M41" s="43">
        <f>$C41</f>
        <v/>
      </c>
      <c r="N41" s="43">
        <f>$C41</f>
        <v/>
      </c>
      <c r="O41" s="43">
        <f>$C41</f>
        <v/>
      </c>
    </row>
    <row r="42">
      <c r="B42" s="41">
        <f>IF(Settings!B29="","",Settings!B29)</f>
        <v/>
      </c>
      <c r="C42" s="42" t="n"/>
      <c r="D42" s="43">
        <f>$C42</f>
        <v/>
      </c>
      <c r="E42" s="43">
        <f>$C42</f>
        <v/>
      </c>
      <c r="F42" s="43">
        <f>$C42</f>
        <v/>
      </c>
      <c r="G42" s="43">
        <f>$C42</f>
        <v/>
      </c>
      <c r="H42" s="43">
        <f>$C42</f>
        <v/>
      </c>
      <c r="I42" s="43">
        <f>$C42</f>
        <v/>
      </c>
      <c r="J42" s="43">
        <f>$C42</f>
        <v/>
      </c>
      <c r="K42" s="43">
        <f>$C42</f>
        <v/>
      </c>
      <c r="L42" s="43">
        <f>$C42</f>
        <v/>
      </c>
      <c r="M42" s="43">
        <f>$C42</f>
        <v/>
      </c>
      <c r="N42" s="43">
        <f>$C42</f>
        <v/>
      </c>
      <c r="O42" s="43">
        <f>$C42</f>
        <v/>
      </c>
    </row>
    <row r="43">
      <c r="B43" s="41">
        <f>IF(Settings!B30="","",Settings!B30)</f>
        <v/>
      </c>
      <c r="C43" s="42" t="n"/>
      <c r="D43" s="43">
        <f>$C43</f>
        <v/>
      </c>
      <c r="E43" s="43">
        <f>$C43</f>
        <v/>
      </c>
      <c r="F43" s="43">
        <f>$C43</f>
        <v/>
      </c>
      <c r="G43" s="43">
        <f>$C43</f>
        <v/>
      </c>
      <c r="H43" s="43">
        <f>$C43</f>
        <v/>
      </c>
      <c r="I43" s="43">
        <f>$C43</f>
        <v/>
      </c>
      <c r="J43" s="43">
        <f>$C43</f>
        <v/>
      </c>
      <c r="K43" s="43">
        <f>$C43</f>
        <v/>
      </c>
      <c r="L43" s="43">
        <f>$C43</f>
        <v/>
      </c>
      <c r="M43" s="43">
        <f>$C43</f>
        <v/>
      </c>
      <c r="N43" s="43">
        <f>$C43</f>
        <v/>
      </c>
      <c r="O43" s="43">
        <f>$C43</f>
        <v/>
      </c>
    </row>
    <row r="44">
      <c r="B44" s="41">
        <f>IF(Settings!B31="","",Settings!B31)</f>
        <v/>
      </c>
      <c r="C44" s="42" t="n"/>
      <c r="D44" s="43">
        <f>$C44</f>
        <v/>
      </c>
      <c r="E44" s="43">
        <f>$C44</f>
        <v/>
      </c>
      <c r="F44" s="43">
        <f>$C44</f>
        <v/>
      </c>
      <c r="G44" s="43">
        <f>$C44</f>
        <v/>
      </c>
      <c r="H44" s="43">
        <f>$C44</f>
        <v/>
      </c>
      <c r="I44" s="43">
        <f>$C44</f>
        <v/>
      </c>
      <c r="J44" s="43">
        <f>$C44</f>
        <v/>
      </c>
      <c r="K44" s="43">
        <f>$C44</f>
        <v/>
      </c>
      <c r="L44" s="43">
        <f>$C44</f>
        <v/>
      </c>
      <c r="M44" s="43">
        <f>$C44</f>
        <v/>
      </c>
      <c r="N44" s="43">
        <f>$C44</f>
        <v/>
      </c>
      <c r="O44" s="43">
        <f>$C44</f>
        <v/>
      </c>
    </row>
    <row r="45">
      <c r="B45" s="41">
        <f>IF(Settings!B32="","",Settings!B32)</f>
        <v/>
      </c>
      <c r="C45" s="42" t="n"/>
      <c r="D45" s="43">
        <f>$C45</f>
        <v/>
      </c>
      <c r="E45" s="43">
        <f>$C45</f>
        <v/>
      </c>
      <c r="F45" s="43">
        <f>$C45</f>
        <v/>
      </c>
      <c r="G45" s="43">
        <f>$C45</f>
        <v/>
      </c>
      <c r="H45" s="43">
        <f>$C45</f>
        <v/>
      </c>
      <c r="I45" s="43">
        <f>$C45</f>
        <v/>
      </c>
      <c r="J45" s="43">
        <f>$C45</f>
        <v/>
      </c>
      <c r="K45" s="43">
        <f>$C45</f>
        <v/>
      </c>
      <c r="L45" s="43">
        <f>$C45</f>
        <v/>
      </c>
      <c r="M45" s="43">
        <f>$C45</f>
        <v/>
      </c>
      <c r="N45" s="43">
        <f>$C45</f>
        <v/>
      </c>
      <c r="O45" s="43">
        <f>$C45</f>
        <v/>
      </c>
    </row>
    <row r="46">
      <c r="B46" s="41">
        <f>IF(Settings!B33="","",Settings!B33)</f>
        <v/>
      </c>
      <c r="C46" s="42" t="n"/>
      <c r="D46" s="43">
        <f>$C46</f>
        <v/>
      </c>
      <c r="E46" s="43">
        <f>$C46</f>
        <v/>
      </c>
      <c r="F46" s="43">
        <f>$C46</f>
        <v/>
      </c>
      <c r="G46" s="43">
        <f>$C46</f>
        <v/>
      </c>
      <c r="H46" s="43">
        <f>$C46</f>
        <v/>
      </c>
      <c r="I46" s="43">
        <f>$C46</f>
        <v/>
      </c>
      <c r="J46" s="43">
        <f>$C46</f>
        <v/>
      </c>
      <c r="K46" s="43">
        <f>$C46</f>
        <v/>
      </c>
      <c r="L46" s="43">
        <f>$C46</f>
        <v/>
      </c>
      <c r="M46" s="43">
        <f>$C46</f>
        <v/>
      </c>
      <c r="N46" s="43">
        <f>$C46</f>
        <v/>
      </c>
      <c r="O46" s="43">
        <f>$C46</f>
        <v/>
      </c>
    </row>
    <row r="47">
      <c r="B47" s="41">
        <f>IF(Settings!B34="","",Settings!B34)</f>
        <v/>
      </c>
      <c r="C47" s="42" t="n"/>
      <c r="D47" s="43">
        <f>$C47</f>
        <v/>
      </c>
      <c r="E47" s="43">
        <f>$C47</f>
        <v/>
      </c>
      <c r="F47" s="43">
        <f>$C47</f>
        <v/>
      </c>
      <c r="G47" s="43">
        <f>$C47</f>
        <v/>
      </c>
      <c r="H47" s="43">
        <f>$C47</f>
        <v/>
      </c>
      <c r="I47" s="43">
        <f>$C47</f>
        <v/>
      </c>
      <c r="J47" s="43">
        <f>$C47</f>
        <v/>
      </c>
      <c r="K47" s="43">
        <f>$C47</f>
        <v/>
      </c>
      <c r="L47" s="43">
        <f>$C47</f>
        <v/>
      </c>
      <c r="M47" s="43">
        <f>$C47</f>
        <v/>
      </c>
      <c r="N47" s="43">
        <f>$C47</f>
        <v/>
      </c>
      <c r="O47" s="43">
        <f>$C47</f>
        <v/>
      </c>
    </row>
    <row r="48">
      <c r="B48" s="41">
        <f>IF(Settings!B35="","",Settings!B35)</f>
        <v/>
      </c>
      <c r="C48" s="42" t="n"/>
      <c r="D48" s="43">
        <f>$C48</f>
        <v/>
      </c>
      <c r="E48" s="43">
        <f>$C48</f>
        <v/>
      </c>
      <c r="F48" s="43">
        <f>$C48</f>
        <v/>
      </c>
      <c r="G48" s="43">
        <f>$C48</f>
        <v/>
      </c>
      <c r="H48" s="43">
        <f>$C48</f>
        <v/>
      </c>
      <c r="I48" s="43">
        <f>$C48</f>
        <v/>
      </c>
      <c r="J48" s="43">
        <f>$C48</f>
        <v/>
      </c>
      <c r="K48" s="43">
        <f>$C48</f>
        <v/>
      </c>
      <c r="L48" s="43">
        <f>$C48</f>
        <v/>
      </c>
      <c r="M48" s="43">
        <f>$C48</f>
        <v/>
      </c>
      <c r="N48" s="43">
        <f>$C48</f>
        <v/>
      </c>
      <c r="O48" s="43">
        <f>$C48</f>
        <v/>
      </c>
    </row>
    <row r="49">
      <c r="B49" s="41">
        <f>IF(Settings!B36="","",Settings!B36)</f>
        <v/>
      </c>
      <c r="C49" s="42" t="n"/>
      <c r="D49" s="43">
        <f>$C49</f>
        <v/>
      </c>
      <c r="E49" s="43">
        <f>$C49</f>
        <v/>
      </c>
      <c r="F49" s="43">
        <f>$C49</f>
        <v/>
      </c>
      <c r="G49" s="43">
        <f>$C49</f>
        <v/>
      </c>
      <c r="H49" s="43">
        <f>$C49</f>
        <v/>
      </c>
      <c r="I49" s="43">
        <f>$C49</f>
        <v/>
      </c>
      <c r="J49" s="43">
        <f>$C49</f>
        <v/>
      </c>
      <c r="K49" s="43">
        <f>$C49</f>
        <v/>
      </c>
      <c r="L49" s="43">
        <f>$C49</f>
        <v/>
      </c>
      <c r="M49" s="43">
        <f>$C49</f>
        <v/>
      </c>
      <c r="N49" s="43">
        <f>$C49</f>
        <v/>
      </c>
      <c r="O49" s="43">
        <f>$C49</f>
        <v/>
      </c>
    </row>
    <row r="50">
      <c r="B50" s="41">
        <f>IF(Settings!B37="","",Settings!B37)</f>
        <v/>
      </c>
      <c r="C50" s="42" t="n"/>
      <c r="D50" s="43">
        <f>$C50</f>
        <v/>
      </c>
      <c r="E50" s="43">
        <f>$C50</f>
        <v/>
      </c>
      <c r="F50" s="43">
        <f>$C50</f>
        <v/>
      </c>
      <c r="G50" s="43">
        <f>$C50</f>
        <v/>
      </c>
      <c r="H50" s="43">
        <f>$C50</f>
        <v/>
      </c>
      <c r="I50" s="43">
        <f>$C50</f>
        <v/>
      </c>
      <c r="J50" s="43">
        <f>$C50</f>
        <v/>
      </c>
      <c r="K50" s="43">
        <f>$C50</f>
        <v/>
      </c>
      <c r="L50" s="43">
        <f>$C50</f>
        <v/>
      </c>
      <c r="M50" s="43">
        <f>$C50</f>
        <v/>
      </c>
      <c r="N50" s="43">
        <f>$C50</f>
        <v/>
      </c>
      <c r="O50" s="43">
        <f>$C50</f>
        <v/>
      </c>
    </row>
    <row r="51">
      <c r="B51" s="29" t="inlineStr">
        <is>
          <t>Total planned expenses</t>
        </is>
      </c>
      <c r="C51" s="23">
        <f>SUM(C21:C50)</f>
        <v/>
      </c>
      <c r="D51" s="23">
        <f>SUM(D21:D50)</f>
        <v/>
      </c>
      <c r="E51" s="23">
        <f>SUM(E21:E50)</f>
        <v/>
      </c>
      <c r="F51" s="23">
        <f>SUM(F21:F50)</f>
        <v/>
      </c>
      <c r="G51" s="23">
        <f>SUM(G21:G50)</f>
        <v/>
      </c>
      <c r="H51" s="23">
        <f>SUM(H21:H50)</f>
        <v/>
      </c>
      <c r="I51" s="23">
        <f>SUM(I21:I50)</f>
        <v/>
      </c>
      <c r="J51" s="23">
        <f>SUM(J21:J50)</f>
        <v/>
      </c>
      <c r="K51" s="23">
        <f>SUM(K21:K50)</f>
        <v/>
      </c>
      <c r="L51" s="23">
        <f>SUM(L21:L50)</f>
        <v/>
      </c>
      <c r="M51" s="23">
        <f>SUM(M21:M50)</f>
        <v/>
      </c>
      <c r="N51" s="23">
        <f>SUM(N21:N50)</f>
        <v/>
      </c>
      <c r="O51" s="23">
        <f>SUM(O21:O50)</f>
        <v/>
      </c>
    </row>
    <row r="52">
      <c r="B52" s="4" t="inlineStr">
        <is>
          <t>Planned left over</t>
        </is>
      </c>
      <c r="C52" s="44">
        <f>C18-C51</f>
        <v/>
      </c>
      <c r="D52" s="44">
        <f>D18-D51</f>
        <v/>
      </c>
      <c r="E52" s="44">
        <f>E18-E51</f>
        <v/>
      </c>
      <c r="F52" s="44">
        <f>F18-F51</f>
        <v/>
      </c>
      <c r="G52" s="44">
        <f>G18-G51</f>
        <v/>
      </c>
      <c r="H52" s="44">
        <f>H18-H51</f>
        <v/>
      </c>
      <c r="I52" s="44">
        <f>I18-I51</f>
        <v/>
      </c>
      <c r="J52" s="44">
        <f>J18-J51</f>
        <v/>
      </c>
      <c r="K52" s="44">
        <f>K18-K51</f>
        <v/>
      </c>
      <c r="L52" s="44">
        <f>L18-L51</f>
        <v/>
      </c>
      <c r="M52" s="44">
        <f>M18-M51</f>
        <v/>
      </c>
      <c r="N52" s="44">
        <f>N18-N51</f>
        <v/>
      </c>
      <c r="O52" s="44">
        <f>O18-O51</f>
        <v/>
      </c>
    </row>
    <row r="54">
      <c r="B54" s="10" t="inlineStr">
        <is>
          <t>Defaults above are examples – replace them with your own numbers.</t>
        </is>
      </c>
    </row>
  </sheetData>
  <conditionalFormatting sqref="C52:O52">
    <cfRule type="cellIs" priority="1" operator="lessThan" dxfId="2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FA98B"/>
    <outlinePr summaryBelow="1" summaryRight="1"/>
    <pageSetUpPr fitToPage="1"/>
  </sheetPr>
  <dimension ref="B2:P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2">
      <c r="B2" s="7" t="inlineStr">
        <is>
          <t>Annual Overview</t>
        </is>
      </c>
    </row>
    <row r="3">
      <c r="B3" s="10" t="inlineStr">
        <is>
          <t>Actual spending per category, every month of the year. Fully automatic.</t>
        </is>
      </c>
    </row>
    <row r="6" ht="22" customHeight="1">
      <c r="B6" s="19" t="inlineStr">
        <is>
          <t>Category</t>
        </is>
      </c>
      <c r="C6" s="45">
        <f>Settings!$H$8</f>
        <v/>
      </c>
      <c r="D6" s="45">
        <f>Settings!$H$9</f>
        <v/>
      </c>
      <c r="E6" s="45">
        <f>Settings!$H$10</f>
        <v/>
      </c>
      <c r="F6" s="45">
        <f>Settings!$H$11</f>
        <v/>
      </c>
      <c r="G6" s="45">
        <f>Settings!$H$12</f>
        <v/>
      </c>
      <c r="H6" s="45">
        <f>Settings!$H$13</f>
        <v/>
      </c>
      <c r="I6" s="45">
        <f>Settings!$H$14</f>
        <v/>
      </c>
      <c r="J6" s="45">
        <f>Settings!$H$15</f>
        <v/>
      </c>
      <c r="K6" s="45">
        <f>Settings!$H$16</f>
        <v/>
      </c>
      <c r="L6" s="45">
        <f>Settings!$H$17</f>
        <v/>
      </c>
      <c r="M6" s="45">
        <f>Settings!$H$18</f>
        <v/>
      </c>
      <c r="N6" s="45">
        <f>Settings!$H$19</f>
        <v/>
      </c>
      <c r="O6" s="19" t="inlineStr">
        <is>
          <t>Year total</t>
        </is>
      </c>
      <c r="P6" s="19" t="inlineStr">
        <is>
          <t>Monthly avg</t>
        </is>
      </c>
    </row>
    <row r="7">
      <c r="B7" s="39" t="inlineStr">
        <is>
          <t>INCOME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</row>
    <row r="8">
      <c r="B8" s="46">
        <f>IF(Settings!D8="","",Settings!D8)</f>
        <v/>
      </c>
      <c r="C8" s="43">
        <f>IF($B8="","",SUMIFS(Transactions!$F$7:$F$1006,Transactions!$D$7:$D$1006,"Income",Transactions!$E$7:$E$1006,$B8,Transactions!$I$7:$I$1006,C$6))</f>
        <v/>
      </c>
      <c r="D8" s="43">
        <f>IF($B8="","",SUMIFS(Transactions!$F$7:$F$1006,Transactions!$D$7:$D$1006,"Income",Transactions!$E$7:$E$1006,$B8,Transactions!$I$7:$I$1006,D$6))</f>
        <v/>
      </c>
      <c r="E8" s="43">
        <f>IF($B8="","",SUMIFS(Transactions!$F$7:$F$1006,Transactions!$D$7:$D$1006,"Income",Transactions!$E$7:$E$1006,$B8,Transactions!$I$7:$I$1006,E$6))</f>
        <v/>
      </c>
      <c r="F8" s="43">
        <f>IF($B8="","",SUMIFS(Transactions!$F$7:$F$1006,Transactions!$D$7:$D$1006,"Income",Transactions!$E$7:$E$1006,$B8,Transactions!$I$7:$I$1006,F$6))</f>
        <v/>
      </c>
      <c r="G8" s="43">
        <f>IF($B8="","",SUMIFS(Transactions!$F$7:$F$1006,Transactions!$D$7:$D$1006,"Income",Transactions!$E$7:$E$1006,$B8,Transactions!$I$7:$I$1006,G$6))</f>
        <v/>
      </c>
      <c r="H8" s="43">
        <f>IF($B8="","",SUMIFS(Transactions!$F$7:$F$1006,Transactions!$D$7:$D$1006,"Income",Transactions!$E$7:$E$1006,$B8,Transactions!$I$7:$I$1006,H$6))</f>
        <v/>
      </c>
      <c r="I8" s="43">
        <f>IF($B8="","",SUMIFS(Transactions!$F$7:$F$1006,Transactions!$D$7:$D$1006,"Income",Transactions!$E$7:$E$1006,$B8,Transactions!$I$7:$I$1006,I$6))</f>
        <v/>
      </c>
      <c r="J8" s="43">
        <f>IF($B8="","",SUMIFS(Transactions!$F$7:$F$1006,Transactions!$D$7:$D$1006,"Income",Transactions!$E$7:$E$1006,$B8,Transactions!$I$7:$I$1006,J$6))</f>
        <v/>
      </c>
      <c r="K8" s="43">
        <f>IF($B8="","",SUMIFS(Transactions!$F$7:$F$1006,Transactions!$D$7:$D$1006,"Income",Transactions!$E$7:$E$1006,$B8,Transactions!$I$7:$I$1006,K$6))</f>
        <v/>
      </c>
      <c r="L8" s="43">
        <f>IF($B8="","",SUMIFS(Transactions!$F$7:$F$1006,Transactions!$D$7:$D$1006,"Income",Transactions!$E$7:$E$1006,$B8,Transactions!$I$7:$I$1006,L$6))</f>
        <v/>
      </c>
      <c r="M8" s="43">
        <f>IF($B8="","",SUMIFS(Transactions!$F$7:$F$1006,Transactions!$D$7:$D$1006,"Income",Transactions!$E$7:$E$1006,$B8,Transactions!$I$7:$I$1006,M$6))</f>
        <v/>
      </c>
      <c r="N8" s="43">
        <f>IF($B8="","",SUMIFS(Transactions!$F$7:$F$1006,Transactions!$D$7:$D$1006,"Income",Transactions!$E$7:$E$1006,$B8,Transactions!$I$7:$I$1006,N$6))</f>
        <v/>
      </c>
      <c r="O8" s="43">
        <f>IF($B8="","",SUM(C8:N8))</f>
        <v/>
      </c>
      <c r="P8" s="43">
        <f>IF($B8="","",IFERROR(O8/MAX(1,COUNTIF(C8:N8,"&gt;0")),0))</f>
        <v/>
      </c>
    </row>
    <row r="9">
      <c r="B9" s="46">
        <f>IF(Settings!D9="","",Settings!D9)</f>
        <v/>
      </c>
      <c r="C9" s="43">
        <f>IF($B9="","",SUMIFS(Transactions!$F$7:$F$1006,Transactions!$D$7:$D$1006,"Income",Transactions!$E$7:$E$1006,$B9,Transactions!$I$7:$I$1006,C$6))</f>
        <v/>
      </c>
      <c r="D9" s="43">
        <f>IF($B9="","",SUMIFS(Transactions!$F$7:$F$1006,Transactions!$D$7:$D$1006,"Income",Transactions!$E$7:$E$1006,$B9,Transactions!$I$7:$I$1006,D$6))</f>
        <v/>
      </c>
      <c r="E9" s="43">
        <f>IF($B9="","",SUMIFS(Transactions!$F$7:$F$1006,Transactions!$D$7:$D$1006,"Income",Transactions!$E$7:$E$1006,$B9,Transactions!$I$7:$I$1006,E$6))</f>
        <v/>
      </c>
      <c r="F9" s="43">
        <f>IF($B9="","",SUMIFS(Transactions!$F$7:$F$1006,Transactions!$D$7:$D$1006,"Income",Transactions!$E$7:$E$1006,$B9,Transactions!$I$7:$I$1006,F$6))</f>
        <v/>
      </c>
      <c r="G9" s="43">
        <f>IF($B9="","",SUMIFS(Transactions!$F$7:$F$1006,Transactions!$D$7:$D$1006,"Income",Transactions!$E$7:$E$1006,$B9,Transactions!$I$7:$I$1006,G$6))</f>
        <v/>
      </c>
      <c r="H9" s="43">
        <f>IF($B9="","",SUMIFS(Transactions!$F$7:$F$1006,Transactions!$D$7:$D$1006,"Income",Transactions!$E$7:$E$1006,$B9,Transactions!$I$7:$I$1006,H$6))</f>
        <v/>
      </c>
      <c r="I9" s="43">
        <f>IF($B9="","",SUMIFS(Transactions!$F$7:$F$1006,Transactions!$D$7:$D$1006,"Income",Transactions!$E$7:$E$1006,$B9,Transactions!$I$7:$I$1006,I$6))</f>
        <v/>
      </c>
      <c r="J9" s="43">
        <f>IF($B9="","",SUMIFS(Transactions!$F$7:$F$1006,Transactions!$D$7:$D$1006,"Income",Transactions!$E$7:$E$1006,$B9,Transactions!$I$7:$I$1006,J$6))</f>
        <v/>
      </c>
      <c r="K9" s="43">
        <f>IF($B9="","",SUMIFS(Transactions!$F$7:$F$1006,Transactions!$D$7:$D$1006,"Income",Transactions!$E$7:$E$1006,$B9,Transactions!$I$7:$I$1006,K$6))</f>
        <v/>
      </c>
      <c r="L9" s="43">
        <f>IF($B9="","",SUMIFS(Transactions!$F$7:$F$1006,Transactions!$D$7:$D$1006,"Income",Transactions!$E$7:$E$1006,$B9,Transactions!$I$7:$I$1006,L$6))</f>
        <v/>
      </c>
      <c r="M9" s="43">
        <f>IF($B9="","",SUMIFS(Transactions!$F$7:$F$1006,Transactions!$D$7:$D$1006,"Income",Transactions!$E$7:$E$1006,$B9,Transactions!$I$7:$I$1006,M$6))</f>
        <v/>
      </c>
      <c r="N9" s="43">
        <f>IF($B9="","",SUMIFS(Transactions!$F$7:$F$1006,Transactions!$D$7:$D$1006,"Income",Transactions!$E$7:$E$1006,$B9,Transactions!$I$7:$I$1006,N$6))</f>
        <v/>
      </c>
      <c r="O9" s="43">
        <f>IF($B9="","",SUM(C9:N9))</f>
        <v/>
      </c>
      <c r="P9" s="43">
        <f>IF($B9="","",IFERROR(O9/MAX(1,COUNTIF(C9:N9,"&gt;0")),0))</f>
        <v/>
      </c>
    </row>
    <row r="10">
      <c r="B10" s="46">
        <f>IF(Settings!D10="","",Settings!D10)</f>
        <v/>
      </c>
      <c r="C10" s="43">
        <f>IF($B10="","",SUMIFS(Transactions!$F$7:$F$1006,Transactions!$D$7:$D$1006,"Income",Transactions!$E$7:$E$1006,$B10,Transactions!$I$7:$I$1006,C$6))</f>
        <v/>
      </c>
      <c r="D10" s="43">
        <f>IF($B10="","",SUMIFS(Transactions!$F$7:$F$1006,Transactions!$D$7:$D$1006,"Income",Transactions!$E$7:$E$1006,$B10,Transactions!$I$7:$I$1006,D$6))</f>
        <v/>
      </c>
      <c r="E10" s="43">
        <f>IF($B10="","",SUMIFS(Transactions!$F$7:$F$1006,Transactions!$D$7:$D$1006,"Income",Transactions!$E$7:$E$1006,$B10,Transactions!$I$7:$I$1006,E$6))</f>
        <v/>
      </c>
      <c r="F10" s="43">
        <f>IF($B10="","",SUMIFS(Transactions!$F$7:$F$1006,Transactions!$D$7:$D$1006,"Income",Transactions!$E$7:$E$1006,$B10,Transactions!$I$7:$I$1006,F$6))</f>
        <v/>
      </c>
      <c r="G10" s="43">
        <f>IF($B10="","",SUMIFS(Transactions!$F$7:$F$1006,Transactions!$D$7:$D$1006,"Income",Transactions!$E$7:$E$1006,$B10,Transactions!$I$7:$I$1006,G$6))</f>
        <v/>
      </c>
      <c r="H10" s="43">
        <f>IF($B10="","",SUMIFS(Transactions!$F$7:$F$1006,Transactions!$D$7:$D$1006,"Income",Transactions!$E$7:$E$1006,$B10,Transactions!$I$7:$I$1006,H$6))</f>
        <v/>
      </c>
      <c r="I10" s="43">
        <f>IF($B10="","",SUMIFS(Transactions!$F$7:$F$1006,Transactions!$D$7:$D$1006,"Income",Transactions!$E$7:$E$1006,$B10,Transactions!$I$7:$I$1006,I$6))</f>
        <v/>
      </c>
      <c r="J10" s="43">
        <f>IF($B10="","",SUMIFS(Transactions!$F$7:$F$1006,Transactions!$D$7:$D$1006,"Income",Transactions!$E$7:$E$1006,$B10,Transactions!$I$7:$I$1006,J$6))</f>
        <v/>
      </c>
      <c r="K10" s="43">
        <f>IF($B10="","",SUMIFS(Transactions!$F$7:$F$1006,Transactions!$D$7:$D$1006,"Income",Transactions!$E$7:$E$1006,$B10,Transactions!$I$7:$I$1006,K$6))</f>
        <v/>
      </c>
      <c r="L10" s="43">
        <f>IF($B10="","",SUMIFS(Transactions!$F$7:$F$1006,Transactions!$D$7:$D$1006,"Income",Transactions!$E$7:$E$1006,$B10,Transactions!$I$7:$I$1006,L$6))</f>
        <v/>
      </c>
      <c r="M10" s="43">
        <f>IF($B10="","",SUMIFS(Transactions!$F$7:$F$1006,Transactions!$D$7:$D$1006,"Income",Transactions!$E$7:$E$1006,$B10,Transactions!$I$7:$I$1006,M$6))</f>
        <v/>
      </c>
      <c r="N10" s="43">
        <f>IF($B10="","",SUMIFS(Transactions!$F$7:$F$1006,Transactions!$D$7:$D$1006,"Income",Transactions!$E$7:$E$1006,$B10,Transactions!$I$7:$I$1006,N$6))</f>
        <v/>
      </c>
      <c r="O10" s="43">
        <f>IF($B10="","",SUM(C10:N10))</f>
        <v/>
      </c>
      <c r="P10" s="43">
        <f>IF($B10="","",IFERROR(O10/MAX(1,COUNTIF(C10:N10,"&gt;0")),0))</f>
        <v/>
      </c>
    </row>
    <row r="11">
      <c r="B11" s="46">
        <f>IF(Settings!D11="","",Settings!D11)</f>
        <v/>
      </c>
      <c r="C11" s="43">
        <f>IF($B11="","",SUMIFS(Transactions!$F$7:$F$1006,Transactions!$D$7:$D$1006,"Income",Transactions!$E$7:$E$1006,$B11,Transactions!$I$7:$I$1006,C$6))</f>
        <v/>
      </c>
      <c r="D11" s="43">
        <f>IF($B11="","",SUMIFS(Transactions!$F$7:$F$1006,Transactions!$D$7:$D$1006,"Income",Transactions!$E$7:$E$1006,$B11,Transactions!$I$7:$I$1006,D$6))</f>
        <v/>
      </c>
      <c r="E11" s="43">
        <f>IF($B11="","",SUMIFS(Transactions!$F$7:$F$1006,Transactions!$D$7:$D$1006,"Income",Transactions!$E$7:$E$1006,$B11,Transactions!$I$7:$I$1006,E$6))</f>
        <v/>
      </c>
      <c r="F11" s="43">
        <f>IF($B11="","",SUMIFS(Transactions!$F$7:$F$1006,Transactions!$D$7:$D$1006,"Income",Transactions!$E$7:$E$1006,$B11,Transactions!$I$7:$I$1006,F$6))</f>
        <v/>
      </c>
      <c r="G11" s="43">
        <f>IF($B11="","",SUMIFS(Transactions!$F$7:$F$1006,Transactions!$D$7:$D$1006,"Income",Transactions!$E$7:$E$1006,$B11,Transactions!$I$7:$I$1006,G$6))</f>
        <v/>
      </c>
      <c r="H11" s="43">
        <f>IF($B11="","",SUMIFS(Transactions!$F$7:$F$1006,Transactions!$D$7:$D$1006,"Income",Transactions!$E$7:$E$1006,$B11,Transactions!$I$7:$I$1006,H$6))</f>
        <v/>
      </c>
      <c r="I11" s="43">
        <f>IF($B11="","",SUMIFS(Transactions!$F$7:$F$1006,Transactions!$D$7:$D$1006,"Income",Transactions!$E$7:$E$1006,$B11,Transactions!$I$7:$I$1006,I$6))</f>
        <v/>
      </c>
      <c r="J11" s="43">
        <f>IF($B11="","",SUMIFS(Transactions!$F$7:$F$1006,Transactions!$D$7:$D$1006,"Income",Transactions!$E$7:$E$1006,$B11,Transactions!$I$7:$I$1006,J$6))</f>
        <v/>
      </c>
      <c r="K11" s="43">
        <f>IF($B11="","",SUMIFS(Transactions!$F$7:$F$1006,Transactions!$D$7:$D$1006,"Income",Transactions!$E$7:$E$1006,$B11,Transactions!$I$7:$I$1006,K$6))</f>
        <v/>
      </c>
      <c r="L11" s="43">
        <f>IF($B11="","",SUMIFS(Transactions!$F$7:$F$1006,Transactions!$D$7:$D$1006,"Income",Transactions!$E$7:$E$1006,$B11,Transactions!$I$7:$I$1006,L$6))</f>
        <v/>
      </c>
      <c r="M11" s="43">
        <f>IF($B11="","",SUMIFS(Transactions!$F$7:$F$1006,Transactions!$D$7:$D$1006,"Income",Transactions!$E$7:$E$1006,$B11,Transactions!$I$7:$I$1006,M$6))</f>
        <v/>
      </c>
      <c r="N11" s="43">
        <f>IF($B11="","",SUMIFS(Transactions!$F$7:$F$1006,Transactions!$D$7:$D$1006,"Income",Transactions!$E$7:$E$1006,$B11,Transactions!$I$7:$I$1006,N$6))</f>
        <v/>
      </c>
      <c r="O11" s="43">
        <f>IF($B11="","",SUM(C11:N11))</f>
        <v/>
      </c>
      <c r="P11" s="43">
        <f>IF($B11="","",IFERROR(O11/MAX(1,COUNTIF(C11:N11,"&gt;0")),0))</f>
        <v/>
      </c>
    </row>
    <row r="12">
      <c r="B12" s="46">
        <f>IF(Settings!D12="","",Settings!D12)</f>
        <v/>
      </c>
      <c r="C12" s="43">
        <f>IF($B12="","",SUMIFS(Transactions!$F$7:$F$1006,Transactions!$D$7:$D$1006,"Income",Transactions!$E$7:$E$1006,$B12,Transactions!$I$7:$I$1006,C$6))</f>
        <v/>
      </c>
      <c r="D12" s="43">
        <f>IF($B12="","",SUMIFS(Transactions!$F$7:$F$1006,Transactions!$D$7:$D$1006,"Income",Transactions!$E$7:$E$1006,$B12,Transactions!$I$7:$I$1006,D$6))</f>
        <v/>
      </c>
      <c r="E12" s="43">
        <f>IF($B12="","",SUMIFS(Transactions!$F$7:$F$1006,Transactions!$D$7:$D$1006,"Income",Transactions!$E$7:$E$1006,$B12,Transactions!$I$7:$I$1006,E$6))</f>
        <v/>
      </c>
      <c r="F12" s="43">
        <f>IF($B12="","",SUMIFS(Transactions!$F$7:$F$1006,Transactions!$D$7:$D$1006,"Income",Transactions!$E$7:$E$1006,$B12,Transactions!$I$7:$I$1006,F$6))</f>
        <v/>
      </c>
      <c r="G12" s="43">
        <f>IF($B12="","",SUMIFS(Transactions!$F$7:$F$1006,Transactions!$D$7:$D$1006,"Income",Transactions!$E$7:$E$1006,$B12,Transactions!$I$7:$I$1006,G$6))</f>
        <v/>
      </c>
      <c r="H12" s="43">
        <f>IF($B12="","",SUMIFS(Transactions!$F$7:$F$1006,Transactions!$D$7:$D$1006,"Income",Transactions!$E$7:$E$1006,$B12,Transactions!$I$7:$I$1006,H$6))</f>
        <v/>
      </c>
      <c r="I12" s="43">
        <f>IF($B12="","",SUMIFS(Transactions!$F$7:$F$1006,Transactions!$D$7:$D$1006,"Income",Transactions!$E$7:$E$1006,$B12,Transactions!$I$7:$I$1006,I$6))</f>
        <v/>
      </c>
      <c r="J12" s="43">
        <f>IF($B12="","",SUMIFS(Transactions!$F$7:$F$1006,Transactions!$D$7:$D$1006,"Income",Transactions!$E$7:$E$1006,$B12,Transactions!$I$7:$I$1006,J$6))</f>
        <v/>
      </c>
      <c r="K12" s="43">
        <f>IF($B12="","",SUMIFS(Transactions!$F$7:$F$1006,Transactions!$D$7:$D$1006,"Income",Transactions!$E$7:$E$1006,$B12,Transactions!$I$7:$I$1006,K$6))</f>
        <v/>
      </c>
      <c r="L12" s="43">
        <f>IF($B12="","",SUMIFS(Transactions!$F$7:$F$1006,Transactions!$D$7:$D$1006,"Income",Transactions!$E$7:$E$1006,$B12,Transactions!$I$7:$I$1006,L$6))</f>
        <v/>
      </c>
      <c r="M12" s="43">
        <f>IF($B12="","",SUMIFS(Transactions!$F$7:$F$1006,Transactions!$D$7:$D$1006,"Income",Transactions!$E$7:$E$1006,$B12,Transactions!$I$7:$I$1006,M$6))</f>
        <v/>
      </c>
      <c r="N12" s="43">
        <f>IF($B12="","",SUMIFS(Transactions!$F$7:$F$1006,Transactions!$D$7:$D$1006,"Income",Transactions!$E$7:$E$1006,$B12,Transactions!$I$7:$I$1006,N$6))</f>
        <v/>
      </c>
      <c r="O12" s="43">
        <f>IF($B12="","",SUM(C12:N12))</f>
        <v/>
      </c>
      <c r="P12" s="43">
        <f>IF($B12="","",IFERROR(O12/MAX(1,COUNTIF(C12:N12,"&gt;0")),0))</f>
        <v/>
      </c>
    </row>
    <row r="13">
      <c r="B13" s="46">
        <f>IF(Settings!D13="","",Settings!D13)</f>
        <v/>
      </c>
      <c r="C13" s="43">
        <f>IF($B13="","",SUMIFS(Transactions!$F$7:$F$1006,Transactions!$D$7:$D$1006,"Income",Transactions!$E$7:$E$1006,$B13,Transactions!$I$7:$I$1006,C$6))</f>
        <v/>
      </c>
      <c r="D13" s="43">
        <f>IF($B13="","",SUMIFS(Transactions!$F$7:$F$1006,Transactions!$D$7:$D$1006,"Income",Transactions!$E$7:$E$1006,$B13,Transactions!$I$7:$I$1006,D$6))</f>
        <v/>
      </c>
      <c r="E13" s="43">
        <f>IF($B13="","",SUMIFS(Transactions!$F$7:$F$1006,Transactions!$D$7:$D$1006,"Income",Transactions!$E$7:$E$1006,$B13,Transactions!$I$7:$I$1006,E$6))</f>
        <v/>
      </c>
      <c r="F13" s="43">
        <f>IF($B13="","",SUMIFS(Transactions!$F$7:$F$1006,Transactions!$D$7:$D$1006,"Income",Transactions!$E$7:$E$1006,$B13,Transactions!$I$7:$I$1006,F$6))</f>
        <v/>
      </c>
      <c r="G13" s="43">
        <f>IF($B13="","",SUMIFS(Transactions!$F$7:$F$1006,Transactions!$D$7:$D$1006,"Income",Transactions!$E$7:$E$1006,$B13,Transactions!$I$7:$I$1006,G$6))</f>
        <v/>
      </c>
      <c r="H13" s="43">
        <f>IF($B13="","",SUMIFS(Transactions!$F$7:$F$1006,Transactions!$D$7:$D$1006,"Income",Transactions!$E$7:$E$1006,$B13,Transactions!$I$7:$I$1006,H$6))</f>
        <v/>
      </c>
      <c r="I13" s="43">
        <f>IF($B13="","",SUMIFS(Transactions!$F$7:$F$1006,Transactions!$D$7:$D$1006,"Income",Transactions!$E$7:$E$1006,$B13,Transactions!$I$7:$I$1006,I$6))</f>
        <v/>
      </c>
      <c r="J13" s="43">
        <f>IF($B13="","",SUMIFS(Transactions!$F$7:$F$1006,Transactions!$D$7:$D$1006,"Income",Transactions!$E$7:$E$1006,$B13,Transactions!$I$7:$I$1006,J$6))</f>
        <v/>
      </c>
      <c r="K13" s="43">
        <f>IF($B13="","",SUMIFS(Transactions!$F$7:$F$1006,Transactions!$D$7:$D$1006,"Income",Transactions!$E$7:$E$1006,$B13,Transactions!$I$7:$I$1006,K$6))</f>
        <v/>
      </c>
      <c r="L13" s="43">
        <f>IF($B13="","",SUMIFS(Transactions!$F$7:$F$1006,Transactions!$D$7:$D$1006,"Income",Transactions!$E$7:$E$1006,$B13,Transactions!$I$7:$I$1006,L$6))</f>
        <v/>
      </c>
      <c r="M13" s="43">
        <f>IF($B13="","",SUMIFS(Transactions!$F$7:$F$1006,Transactions!$D$7:$D$1006,"Income",Transactions!$E$7:$E$1006,$B13,Transactions!$I$7:$I$1006,M$6))</f>
        <v/>
      </c>
      <c r="N13" s="43">
        <f>IF($B13="","",SUMIFS(Transactions!$F$7:$F$1006,Transactions!$D$7:$D$1006,"Income",Transactions!$E$7:$E$1006,$B13,Transactions!$I$7:$I$1006,N$6))</f>
        <v/>
      </c>
      <c r="O13" s="43">
        <f>IF($B13="","",SUM(C13:N13))</f>
        <v/>
      </c>
      <c r="P13" s="43">
        <f>IF($B13="","",IFERROR(O13/MAX(1,COUNTIF(C13:N13,"&gt;0")),0))</f>
        <v/>
      </c>
    </row>
    <row r="14">
      <c r="B14" s="46">
        <f>IF(Settings!D14="","",Settings!D14)</f>
        <v/>
      </c>
      <c r="C14" s="43">
        <f>IF($B14="","",SUMIFS(Transactions!$F$7:$F$1006,Transactions!$D$7:$D$1006,"Income",Transactions!$E$7:$E$1006,$B14,Transactions!$I$7:$I$1006,C$6))</f>
        <v/>
      </c>
      <c r="D14" s="43">
        <f>IF($B14="","",SUMIFS(Transactions!$F$7:$F$1006,Transactions!$D$7:$D$1006,"Income",Transactions!$E$7:$E$1006,$B14,Transactions!$I$7:$I$1006,D$6))</f>
        <v/>
      </c>
      <c r="E14" s="43">
        <f>IF($B14="","",SUMIFS(Transactions!$F$7:$F$1006,Transactions!$D$7:$D$1006,"Income",Transactions!$E$7:$E$1006,$B14,Transactions!$I$7:$I$1006,E$6))</f>
        <v/>
      </c>
      <c r="F14" s="43">
        <f>IF($B14="","",SUMIFS(Transactions!$F$7:$F$1006,Transactions!$D$7:$D$1006,"Income",Transactions!$E$7:$E$1006,$B14,Transactions!$I$7:$I$1006,F$6))</f>
        <v/>
      </c>
      <c r="G14" s="43">
        <f>IF($B14="","",SUMIFS(Transactions!$F$7:$F$1006,Transactions!$D$7:$D$1006,"Income",Transactions!$E$7:$E$1006,$B14,Transactions!$I$7:$I$1006,G$6))</f>
        <v/>
      </c>
      <c r="H14" s="43">
        <f>IF($B14="","",SUMIFS(Transactions!$F$7:$F$1006,Transactions!$D$7:$D$1006,"Income",Transactions!$E$7:$E$1006,$B14,Transactions!$I$7:$I$1006,H$6))</f>
        <v/>
      </c>
      <c r="I14" s="43">
        <f>IF($B14="","",SUMIFS(Transactions!$F$7:$F$1006,Transactions!$D$7:$D$1006,"Income",Transactions!$E$7:$E$1006,$B14,Transactions!$I$7:$I$1006,I$6))</f>
        <v/>
      </c>
      <c r="J14" s="43">
        <f>IF($B14="","",SUMIFS(Transactions!$F$7:$F$1006,Transactions!$D$7:$D$1006,"Income",Transactions!$E$7:$E$1006,$B14,Transactions!$I$7:$I$1006,J$6))</f>
        <v/>
      </c>
      <c r="K14" s="43">
        <f>IF($B14="","",SUMIFS(Transactions!$F$7:$F$1006,Transactions!$D$7:$D$1006,"Income",Transactions!$E$7:$E$1006,$B14,Transactions!$I$7:$I$1006,K$6))</f>
        <v/>
      </c>
      <c r="L14" s="43">
        <f>IF($B14="","",SUMIFS(Transactions!$F$7:$F$1006,Transactions!$D$7:$D$1006,"Income",Transactions!$E$7:$E$1006,$B14,Transactions!$I$7:$I$1006,L$6))</f>
        <v/>
      </c>
      <c r="M14" s="43">
        <f>IF($B14="","",SUMIFS(Transactions!$F$7:$F$1006,Transactions!$D$7:$D$1006,"Income",Transactions!$E$7:$E$1006,$B14,Transactions!$I$7:$I$1006,M$6))</f>
        <v/>
      </c>
      <c r="N14" s="43">
        <f>IF($B14="","",SUMIFS(Transactions!$F$7:$F$1006,Transactions!$D$7:$D$1006,"Income",Transactions!$E$7:$E$1006,$B14,Transactions!$I$7:$I$1006,N$6))</f>
        <v/>
      </c>
      <c r="O14" s="43">
        <f>IF($B14="","",SUM(C14:N14))</f>
        <v/>
      </c>
      <c r="P14" s="43">
        <f>IF($B14="","",IFERROR(O14/MAX(1,COUNTIF(C14:N14,"&gt;0")),0))</f>
        <v/>
      </c>
    </row>
    <row r="15">
      <c r="B15" s="46">
        <f>IF(Settings!D15="","",Settings!D15)</f>
        <v/>
      </c>
      <c r="C15" s="43">
        <f>IF($B15="","",SUMIFS(Transactions!$F$7:$F$1006,Transactions!$D$7:$D$1006,"Income",Transactions!$E$7:$E$1006,$B15,Transactions!$I$7:$I$1006,C$6))</f>
        <v/>
      </c>
      <c r="D15" s="43">
        <f>IF($B15="","",SUMIFS(Transactions!$F$7:$F$1006,Transactions!$D$7:$D$1006,"Income",Transactions!$E$7:$E$1006,$B15,Transactions!$I$7:$I$1006,D$6))</f>
        <v/>
      </c>
      <c r="E15" s="43">
        <f>IF($B15="","",SUMIFS(Transactions!$F$7:$F$1006,Transactions!$D$7:$D$1006,"Income",Transactions!$E$7:$E$1006,$B15,Transactions!$I$7:$I$1006,E$6))</f>
        <v/>
      </c>
      <c r="F15" s="43">
        <f>IF($B15="","",SUMIFS(Transactions!$F$7:$F$1006,Transactions!$D$7:$D$1006,"Income",Transactions!$E$7:$E$1006,$B15,Transactions!$I$7:$I$1006,F$6))</f>
        <v/>
      </c>
      <c r="G15" s="43">
        <f>IF($B15="","",SUMIFS(Transactions!$F$7:$F$1006,Transactions!$D$7:$D$1006,"Income",Transactions!$E$7:$E$1006,$B15,Transactions!$I$7:$I$1006,G$6))</f>
        <v/>
      </c>
      <c r="H15" s="43">
        <f>IF($B15="","",SUMIFS(Transactions!$F$7:$F$1006,Transactions!$D$7:$D$1006,"Income",Transactions!$E$7:$E$1006,$B15,Transactions!$I$7:$I$1006,H$6))</f>
        <v/>
      </c>
      <c r="I15" s="43">
        <f>IF($B15="","",SUMIFS(Transactions!$F$7:$F$1006,Transactions!$D$7:$D$1006,"Income",Transactions!$E$7:$E$1006,$B15,Transactions!$I$7:$I$1006,I$6))</f>
        <v/>
      </c>
      <c r="J15" s="43">
        <f>IF($B15="","",SUMIFS(Transactions!$F$7:$F$1006,Transactions!$D$7:$D$1006,"Income",Transactions!$E$7:$E$1006,$B15,Transactions!$I$7:$I$1006,J$6))</f>
        <v/>
      </c>
      <c r="K15" s="43">
        <f>IF($B15="","",SUMIFS(Transactions!$F$7:$F$1006,Transactions!$D$7:$D$1006,"Income",Transactions!$E$7:$E$1006,$B15,Transactions!$I$7:$I$1006,K$6))</f>
        <v/>
      </c>
      <c r="L15" s="43">
        <f>IF($B15="","",SUMIFS(Transactions!$F$7:$F$1006,Transactions!$D$7:$D$1006,"Income",Transactions!$E$7:$E$1006,$B15,Transactions!$I$7:$I$1006,L$6))</f>
        <v/>
      </c>
      <c r="M15" s="43">
        <f>IF($B15="","",SUMIFS(Transactions!$F$7:$F$1006,Transactions!$D$7:$D$1006,"Income",Transactions!$E$7:$E$1006,$B15,Transactions!$I$7:$I$1006,M$6))</f>
        <v/>
      </c>
      <c r="N15" s="43">
        <f>IF($B15="","",SUMIFS(Transactions!$F$7:$F$1006,Transactions!$D$7:$D$1006,"Income",Transactions!$E$7:$E$1006,$B15,Transactions!$I$7:$I$1006,N$6))</f>
        <v/>
      </c>
      <c r="O15" s="43">
        <f>IF($B15="","",SUM(C15:N15))</f>
        <v/>
      </c>
      <c r="P15" s="43">
        <f>IF($B15="","",IFERROR(O15/MAX(1,COUNTIF(C15:N15,"&gt;0")),0))</f>
        <v/>
      </c>
    </row>
    <row r="16">
      <c r="B16" s="46">
        <f>IF(Settings!D16="","",Settings!D16)</f>
        <v/>
      </c>
      <c r="C16" s="43">
        <f>IF($B16="","",SUMIFS(Transactions!$F$7:$F$1006,Transactions!$D$7:$D$1006,"Income",Transactions!$E$7:$E$1006,$B16,Transactions!$I$7:$I$1006,C$6))</f>
        <v/>
      </c>
      <c r="D16" s="43">
        <f>IF($B16="","",SUMIFS(Transactions!$F$7:$F$1006,Transactions!$D$7:$D$1006,"Income",Transactions!$E$7:$E$1006,$B16,Transactions!$I$7:$I$1006,D$6))</f>
        <v/>
      </c>
      <c r="E16" s="43">
        <f>IF($B16="","",SUMIFS(Transactions!$F$7:$F$1006,Transactions!$D$7:$D$1006,"Income",Transactions!$E$7:$E$1006,$B16,Transactions!$I$7:$I$1006,E$6))</f>
        <v/>
      </c>
      <c r="F16" s="43">
        <f>IF($B16="","",SUMIFS(Transactions!$F$7:$F$1006,Transactions!$D$7:$D$1006,"Income",Transactions!$E$7:$E$1006,$B16,Transactions!$I$7:$I$1006,F$6))</f>
        <v/>
      </c>
      <c r="G16" s="43">
        <f>IF($B16="","",SUMIFS(Transactions!$F$7:$F$1006,Transactions!$D$7:$D$1006,"Income",Transactions!$E$7:$E$1006,$B16,Transactions!$I$7:$I$1006,G$6))</f>
        <v/>
      </c>
      <c r="H16" s="43">
        <f>IF($B16="","",SUMIFS(Transactions!$F$7:$F$1006,Transactions!$D$7:$D$1006,"Income",Transactions!$E$7:$E$1006,$B16,Transactions!$I$7:$I$1006,H$6))</f>
        <v/>
      </c>
      <c r="I16" s="43">
        <f>IF($B16="","",SUMIFS(Transactions!$F$7:$F$1006,Transactions!$D$7:$D$1006,"Income",Transactions!$E$7:$E$1006,$B16,Transactions!$I$7:$I$1006,I$6))</f>
        <v/>
      </c>
      <c r="J16" s="43">
        <f>IF($B16="","",SUMIFS(Transactions!$F$7:$F$1006,Transactions!$D$7:$D$1006,"Income",Transactions!$E$7:$E$1006,$B16,Transactions!$I$7:$I$1006,J$6))</f>
        <v/>
      </c>
      <c r="K16" s="43">
        <f>IF($B16="","",SUMIFS(Transactions!$F$7:$F$1006,Transactions!$D$7:$D$1006,"Income",Transactions!$E$7:$E$1006,$B16,Transactions!$I$7:$I$1006,K$6))</f>
        <v/>
      </c>
      <c r="L16" s="43">
        <f>IF($B16="","",SUMIFS(Transactions!$F$7:$F$1006,Transactions!$D$7:$D$1006,"Income",Transactions!$E$7:$E$1006,$B16,Transactions!$I$7:$I$1006,L$6))</f>
        <v/>
      </c>
      <c r="M16" s="43">
        <f>IF($B16="","",SUMIFS(Transactions!$F$7:$F$1006,Transactions!$D$7:$D$1006,"Income",Transactions!$E$7:$E$1006,$B16,Transactions!$I$7:$I$1006,M$6))</f>
        <v/>
      </c>
      <c r="N16" s="43">
        <f>IF($B16="","",SUMIFS(Transactions!$F$7:$F$1006,Transactions!$D$7:$D$1006,"Income",Transactions!$E$7:$E$1006,$B16,Transactions!$I$7:$I$1006,N$6))</f>
        <v/>
      </c>
      <c r="O16" s="43">
        <f>IF($B16="","",SUM(C16:N16))</f>
        <v/>
      </c>
      <c r="P16" s="43">
        <f>IF($B16="","",IFERROR(O16/MAX(1,COUNTIF(C16:N16,"&gt;0")),0))</f>
        <v/>
      </c>
    </row>
    <row r="17">
      <c r="B17" s="46">
        <f>IF(Settings!D17="","",Settings!D17)</f>
        <v/>
      </c>
      <c r="C17" s="43">
        <f>IF($B17="","",SUMIFS(Transactions!$F$7:$F$1006,Transactions!$D$7:$D$1006,"Income",Transactions!$E$7:$E$1006,$B17,Transactions!$I$7:$I$1006,C$6))</f>
        <v/>
      </c>
      <c r="D17" s="43">
        <f>IF($B17="","",SUMIFS(Transactions!$F$7:$F$1006,Transactions!$D$7:$D$1006,"Income",Transactions!$E$7:$E$1006,$B17,Transactions!$I$7:$I$1006,D$6))</f>
        <v/>
      </c>
      <c r="E17" s="43">
        <f>IF($B17="","",SUMIFS(Transactions!$F$7:$F$1006,Transactions!$D$7:$D$1006,"Income",Transactions!$E$7:$E$1006,$B17,Transactions!$I$7:$I$1006,E$6))</f>
        <v/>
      </c>
      <c r="F17" s="43">
        <f>IF($B17="","",SUMIFS(Transactions!$F$7:$F$1006,Transactions!$D$7:$D$1006,"Income",Transactions!$E$7:$E$1006,$B17,Transactions!$I$7:$I$1006,F$6))</f>
        <v/>
      </c>
      <c r="G17" s="43">
        <f>IF($B17="","",SUMIFS(Transactions!$F$7:$F$1006,Transactions!$D$7:$D$1006,"Income",Transactions!$E$7:$E$1006,$B17,Transactions!$I$7:$I$1006,G$6))</f>
        <v/>
      </c>
      <c r="H17" s="43">
        <f>IF($B17="","",SUMIFS(Transactions!$F$7:$F$1006,Transactions!$D$7:$D$1006,"Income",Transactions!$E$7:$E$1006,$B17,Transactions!$I$7:$I$1006,H$6))</f>
        <v/>
      </c>
      <c r="I17" s="43">
        <f>IF($B17="","",SUMIFS(Transactions!$F$7:$F$1006,Transactions!$D$7:$D$1006,"Income",Transactions!$E$7:$E$1006,$B17,Transactions!$I$7:$I$1006,I$6))</f>
        <v/>
      </c>
      <c r="J17" s="43">
        <f>IF($B17="","",SUMIFS(Transactions!$F$7:$F$1006,Transactions!$D$7:$D$1006,"Income",Transactions!$E$7:$E$1006,$B17,Transactions!$I$7:$I$1006,J$6))</f>
        <v/>
      </c>
      <c r="K17" s="43">
        <f>IF($B17="","",SUMIFS(Transactions!$F$7:$F$1006,Transactions!$D$7:$D$1006,"Income",Transactions!$E$7:$E$1006,$B17,Transactions!$I$7:$I$1006,K$6))</f>
        <v/>
      </c>
      <c r="L17" s="43">
        <f>IF($B17="","",SUMIFS(Transactions!$F$7:$F$1006,Transactions!$D$7:$D$1006,"Income",Transactions!$E$7:$E$1006,$B17,Transactions!$I$7:$I$1006,L$6))</f>
        <v/>
      </c>
      <c r="M17" s="43">
        <f>IF($B17="","",SUMIFS(Transactions!$F$7:$F$1006,Transactions!$D$7:$D$1006,"Income",Transactions!$E$7:$E$1006,$B17,Transactions!$I$7:$I$1006,M$6))</f>
        <v/>
      </c>
      <c r="N17" s="43">
        <f>IF($B17="","",SUMIFS(Transactions!$F$7:$F$1006,Transactions!$D$7:$D$1006,"Income",Transactions!$E$7:$E$1006,$B17,Transactions!$I$7:$I$1006,N$6))</f>
        <v/>
      </c>
      <c r="O17" s="43">
        <f>IF($B17="","",SUM(C17:N17))</f>
        <v/>
      </c>
      <c r="P17" s="43">
        <f>IF($B17="","",IFERROR(O17/MAX(1,COUNTIF(C17:N17,"&gt;0")),0))</f>
        <v/>
      </c>
    </row>
    <row r="18">
      <c r="B18" s="29" t="inlineStr">
        <is>
          <t>Total income</t>
        </is>
      </c>
      <c r="C18" s="23">
        <f>SUM(C8:C17)</f>
        <v/>
      </c>
      <c r="D18" s="23">
        <f>SUM(D8:D17)</f>
        <v/>
      </c>
      <c r="E18" s="23">
        <f>SUM(E8:E17)</f>
        <v/>
      </c>
      <c r="F18" s="23">
        <f>SUM(F8:F17)</f>
        <v/>
      </c>
      <c r="G18" s="23">
        <f>SUM(G8:G17)</f>
        <v/>
      </c>
      <c r="H18" s="23">
        <f>SUM(H8:H17)</f>
        <v/>
      </c>
      <c r="I18" s="23">
        <f>SUM(I8:I17)</f>
        <v/>
      </c>
      <c r="J18" s="23">
        <f>SUM(J8:J17)</f>
        <v/>
      </c>
      <c r="K18" s="23">
        <f>SUM(K8:K17)</f>
        <v/>
      </c>
      <c r="L18" s="23">
        <f>SUM(L8:L17)</f>
        <v/>
      </c>
      <c r="M18" s="23">
        <f>SUM(M8:M17)</f>
        <v/>
      </c>
      <c r="N18" s="23">
        <f>SUM(N8:N17)</f>
        <v/>
      </c>
      <c r="O18" s="23">
        <f>SUM(O8:O17)</f>
        <v/>
      </c>
      <c r="P18" s="23">
        <f>SUM(P8:P17)</f>
        <v/>
      </c>
    </row>
    <row r="20">
      <c r="B20" s="39" t="inlineStr">
        <is>
          <t>EXPENSES</t>
        </is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>
      <c r="B21" s="46">
        <f>IF(Settings!B8="","",Settings!B8)</f>
        <v/>
      </c>
      <c r="C21" s="43">
        <f>IF($B21="","",SUMIFS(Transactions!$F$7:$F$1006,Transactions!$D$7:$D$1006,"Expense",Transactions!$E$7:$E$1006,$B21,Transactions!$I$7:$I$1006,C$6))</f>
        <v/>
      </c>
      <c r="D21" s="43">
        <f>IF($B21="","",SUMIFS(Transactions!$F$7:$F$1006,Transactions!$D$7:$D$1006,"Expense",Transactions!$E$7:$E$1006,$B21,Transactions!$I$7:$I$1006,D$6))</f>
        <v/>
      </c>
      <c r="E21" s="43">
        <f>IF($B21="","",SUMIFS(Transactions!$F$7:$F$1006,Transactions!$D$7:$D$1006,"Expense",Transactions!$E$7:$E$1006,$B21,Transactions!$I$7:$I$1006,E$6))</f>
        <v/>
      </c>
      <c r="F21" s="43">
        <f>IF($B21="","",SUMIFS(Transactions!$F$7:$F$1006,Transactions!$D$7:$D$1006,"Expense",Transactions!$E$7:$E$1006,$B21,Transactions!$I$7:$I$1006,F$6))</f>
        <v/>
      </c>
      <c r="G21" s="43">
        <f>IF($B21="","",SUMIFS(Transactions!$F$7:$F$1006,Transactions!$D$7:$D$1006,"Expense",Transactions!$E$7:$E$1006,$B21,Transactions!$I$7:$I$1006,G$6))</f>
        <v/>
      </c>
      <c r="H21" s="43">
        <f>IF($B21="","",SUMIFS(Transactions!$F$7:$F$1006,Transactions!$D$7:$D$1006,"Expense",Transactions!$E$7:$E$1006,$B21,Transactions!$I$7:$I$1006,H$6))</f>
        <v/>
      </c>
      <c r="I21" s="43">
        <f>IF($B21="","",SUMIFS(Transactions!$F$7:$F$1006,Transactions!$D$7:$D$1006,"Expense",Transactions!$E$7:$E$1006,$B21,Transactions!$I$7:$I$1006,I$6))</f>
        <v/>
      </c>
      <c r="J21" s="43">
        <f>IF($B21="","",SUMIFS(Transactions!$F$7:$F$1006,Transactions!$D$7:$D$1006,"Expense",Transactions!$E$7:$E$1006,$B21,Transactions!$I$7:$I$1006,J$6))</f>
        <v/>
      </c>
      <c r="K21" s="43">
        <f>IF($B21="","",SUMIFS(Transactions!$F$7:$F$1006,Transactions!$D$7:$D$1006,"Expense",Transactions!$E$7:$E$1006,$B21,Transactions!$I$7:$I$1006,K$6))</f>
        <v/>
      </c>
      <c r="L21" s="43">
        <f>IF($B21="","",SUMIFS(Transactions!$F$7:$F$1006,Transactions!$D$7:$D$1006,"Expense",Transactions!$E$7:$E$1006,$B21,Transactions!$I$7:$I$1006,L$6))</f>
        <v/>
      </c>
      <c r="M21" s="43">
        <f>IF($B21="","",SUMIFS(Transactions!$F$7:$F$1006,Transactions!$D$7:$D$1006,"Expense",Transactions!$E$7:$E$1006,$B21,Transactions!$I$7:$I$1006,M$6))</f>
        <v/>
      </c>
      <c r="N21" s="43">
        <f>IF($B21="","",SUMIFS(Transactions!$F$7:$F$1006,Transactions!$D$7:$D$1006,"Expense",Transactions!$E$7:$E$1006,$B21,Transactions!$I$7:$I$1006,N$6))</f>
        <v/>
      </c>
      <c r="O21" s="43">
        <f>IF($B21="","",SUM(C21:N21))</f>
        <v/>
      </c>
      <c r="P21" s="43">
        <f>IF($B21="","",IFERROR(O21/MAX(1,COUNTIF(C21:N21,"&gt;0")),0))</f>
        <v/>
      </c>
    </row>
    <row r="22">
      <c r="B22" s="46">
        <f>IF(Settings!B9="","",Settings!B9)</f>
        <v/>
      </c>
      <c r="C22" s="43">
        <f>IF($B22="","",SUMIFS(Transactions!$F$7:$F$1006,Transactions!$D$7:$D$1006,"Expense",Transactions!$E$7:$E$1006,$B22,Transactions!$I$7:$I$1006,C$6))</f>
        <v/>
      </c>
      <c r="D22" s="43">
        <f>IF($B22="","",SUMIFS(Transactions!$F$7:$F$1006,Transactions!$D$7:$D$1006,"Expense",Transactions!$E$7:$E$1006,$B22,Transactions!$I$7:$I$1006,D$6))</f>
        <v/>
      </c>
      <c r="E22" s="43">
        <f>IF($B22="","",SUMIFS(Transactions!$F$7:$F$1006,Transactions!$D$7:$D$1006,"Expense",Transactions!$E$7:$E$1006,$B22,Transactions!$I$7:$I$1006,E$6))</f>
        <v/>
      </c>
      <c r="F22" s="43">
        <f>IF($B22="","",SUMIFS(Transactions!$F$7:$F$1006,Transactions!$D$7:$D$1006,"Expense",Transactions!$E$7:$E$1006,$B22,Transactions!$I$7:$I$1006,F$6))</f>
        <v/>
      </c>
      <c r="G22" s="43">
        <f>IF($B22="","",SUMIFS(Transactions!$F$7:$F$1006,Transactions!$D$7:$D$1006,"Expense",Transactions!$E$7:$E$1006,$B22,Transactions!$I$7:$I$1006,G$6))</f>
        <v/>
      </c>
      <c r="H22" s="43">
        <f>IF($B22="","",SUMIFS(Transactions!$F$7:$F$1006,Transactions!$D$7:$D$1006,"Expense",Transactions!$E$7:$E$1006,$B22,Transactions!$I$7:$I$1006,H$6))</f>
        <v/>
      </c>
      <c r="I22" s="43">
        <f>IF($B22="","",SUMIFS(Transactions!$F$7:$F$1006,Transactions!$D$7:$D$1006,"Expense",Transactions!$E$7:$E$1006,$B22,Transactions!$I$7:$I$1006,I$6))</f>
        <v/>
      </c>
      <c r="J22" s="43">
        <f>IF($B22="","",SUMIFS(Transactions!$F$7:$F$1006,Transactions!$D$7:$D$1006,"Expense",Transactions!$E$7:$E$1006,$B22,Transactions!$I$7:$I$1006,J$6))</f>
        <v/>
      </c>
      <c r="K22" s="43">
        <f>IF($B22="","",SUMIFS(Transactions!$F$7:$F$1006,Transactions!$D$7:$D$1006,"Expense",Transactions!$E$7:$E$1006,$B22,Transactions!$I$7:$I$1006,K$6))</f>
        <v/>
      </c>
      <c r="L22" s="43">
        <f>IF($B22="","",SUMIFS(Transactions!$F$7:$F$1006,Transactions!$D$7:$D$1006,"Expense",Transactions!$E$7:$E$1006,$B22,Transactions!$I$7:$I$1006,L$6))</f>
        <v/>
      </c>
      <c r="M22" s="43">
        <f>IF($B22="","",SUMIFS(Transactions!$F$7:$F$1006,Transactions!$D$7:$D$1006,"Expense",Transactions!$E$7:$E$1006,$B22,Transactions!$I$7:$I$1006,M$6))</f>
        <v/>
      </c>
      <c r="N22" s="43">
        <f>IF($B22="","",SUMIFS(Transactions!$F$7:$F$1006,Transactions!$D$7:$D$1006,"Expense",Transactions!$E$7:$E$1006,$B22,Transactions!$I$7:$I$1006,N$6))</f>
        <v/>
      </c>
      <c r="O22" s="43">
        <f>IF($B22="","",SUM(C22:N22))</f>
        <v/>
      </c>
      <c r="P22" s="43">
        <f>IF($B22="","",IFERROR(O22/MAX(1,COUNTIF(C22:N22,"&gt;0")),0))</f>
        <v/>
      </c>
    </row>
    <row r="23">
      <c r="B23" s="46">
        <f>IF(Settings!B10="","",Settings!B10)</f>
        <v/>
      </c>
      <c r="C23" s="43">
        <f>IF($B23="","",SUMIFS(Transactions!$F$7:$F$1006,Transactions!$D$7:$D$1006,"Expense",Transactions!$E$7:$E$1006,$B23,Transactions!$I$7:$I$1006,C$6))</f>
        <v/>
      </c>
      <c r="D23" s="43">
        <f>IF($B23="","",SUMIFS(Transactions!$F$7:$F$1006,Transactions!$D$7:$D$1006,"Expense",Transactions!$E$7:$E$1006,$B23,Transactions!$I$7:$I$1006,D$6))</f>
        <v/>
      </c>
      <c r="E23" s="43">
        <f>IF($B23="","",SUMIFS(Transactions!$F$7:$F$1006,Transactions!$D$7:$D$1006,"Expense",Transactions!$E$7:$E$1006,$B23,Transactions!$I$7:$I$1006,E$6))</f>
        <v/>
      </c>
      <c r="F23" s="43">
        <f>IF($B23="","",SUMIFS(Transactions!$F$7:$F$1006,Transactions!$D$7:$D$1006,"Expense",Transactions!$E$7:$E$1006,$B23,Transactions!$I$7:$I$1006,F$6))</f>
        <v/>
      </c>
      <c r="G23" s="43">
        <f>IF($B23="","",SUMIFS(Transactions!$F$7:$F$1006,Transactions!$D$7:$D$1006,"Expense",Transactions!$E$7:$E$1006,$B23,Transactions!$I$7:$I$1006,G$6))</f>
        <v/>
      </c>
      <c r="H23" s="43">
        <f>IF($B23="","",SUMIFS(Transactions!$F$7:$F$1006,Transactions!$D$7:$D$1006,"Expense",Transactions!$E$7:$E$1006,$B23,Transactions!$I$7:$I$1006,H$6))</f>
        <v/>
      </c>
      <c r="I23" s="43">
        <f>IF($B23="","",SUMIFS(Transactions!$F$7:$F$1006,Transactions!$D$7:$D$1006,"Expense",Transactions!$E$7:$E$1006,$B23,Transactions!$I$7:$I$1006,I$6))</f>
        <v/>
      </c>
      <c r="J23" s="43">
        <f>IF($B23="","",SUMIFS(Transactions!$F$7:$F$1006,Transactions!$D$7:$D$1006,"Expense",Transactions!$E$7:$E$1006,$B23,Transactions!$I$7:$I$1006,J$6))</f>
        <v/>
      </c>
      <c r="K23" s="43">
        <f>IF($B23="","",SUMIFS(Transactions!$F$7:$F$1006,Transactions!$D$7:$D$1006,"Expense",Transactions!$E$7:$E$1006,$B23,Transactions!$I$7:$I$1006,K$6))</f>
        <v/>
      </c>
      <c r="L23" s="43">
        <f>IF($B23="","",SUMIFS(Transactions!$F$7:$F$1006,Transactions!$D$7:$D$1006,"Expense",Transactions!$E$7:$E$1006,$B23,Transactions!$I$7:$I$1006,L$6))</f>
        <v/>
      </c>
      <c r="M23" s="43">
        <f>IF($B23="","",SUMIFS(Transactions!$F$7:$F$1006,Transactions!$D$7:$D$1006,"Expense",Transactions!$E$7:$E$1006,$B23,Transactions!$I$7:$I$1006,M$6))</f>
        <v/>
      </c>
      <c r="N23" s="43">
        <f>IF($B23="","",SUMIFS(Transactions!$F$7:$F$1006,Transactions!$D$7:$D$1006,"Expense",Transactions!$E$7:$E$1006,$B23,Transactions!$I$7:$I$1006,N$6))</f>
        <v/>
      </c>
      <c r="O23" s="43">
        <f>IF($B23="","",SUM(C23:N23))</f>
        <v/>
      </c>
      <c r="P23" s="43">
        <f>IF($B23="","",IFERROR(O23/MAX(1,COUNTIF(C23:N23,"&gt;0")),0))</f>
        <v/>
      </c>
    </row>
    <row r="24">
      <c r="B24" s="46">
        <f>IF(Settings!B11="","",Settings!B11)</f>
        <v/>
      </c>
      <c r="C24" s="43">
        <f>IF($B24="","",SUMIFS(Transactions!$F$7:$F$1006,Transactions!$D$7:$D$1006,"Expense",Transactions!$E$7:$E$1006,$B24,Transactions!$I$7:$I$1006,C$6))</f>
        <v/>
      </c>
      <c r="D24" s="43">
        <f>IF($B24="","",SUMIFS(Transactions!$F$7:$F$1006,Transactions!$D$7:$D$1006,"Expense",Transactions!$E$7:$E$1006,$B24,Transactions!$I$7:$I$1006,D$6))</f>
        <v/>
      </c>
      <c r="E24" s="43">
        <f>IF($B24="","",SUMIFS(Transactions!$F$7:$F$1006,Transactions!$D$7:$D$1006,"Expense",Transactions!$E$7:$E$1006,$B24,Transactions!$I$7:$I$1006,E$6))</f>
        <v/>
      </c>
      <c r="F24" s="43">
        <f>IF($B24="","",SUMIFS(Transactions!$F$7:$F$1006,Transactions!$D$7:$D$1006,"Expense",Transactions!$E$7:$E$1006,$B24,Transactions!$I$7:$I$1006,F$6))</f>
        <v/>
      </c>
      <c r="G24" s="43">
        <f>IF($B24="","",SUMIFS(Transactions!$F$7:$F$1006,Transactions!$D$7:$D$1006,"Expense",Transactions!$E$7:$E$1006,$B24,Transactions!$I$7:$I$1006,G$6))</f>
        <v/>
      </c>
      <c r="H24" s="43">
        <f>IF($B24="","",SUMIFS(Transactions!$F$7:$F$1006,Transactions!$D$7:$D$1006,"Expense",Transactions!$E$7:$E$1006,$B24,Transactions!$I$7:$I$1006,H$6))</f>
        <v/>
      </c>
      <c r="I24" s="43">
        <f>IF($B24="","",SUMIFS(Transactions!$F$7:$F$1006,Transactions!$D$7:$D$1006,"Expense",Transactions!$E$7:$E$1006,$B24,Transactions!$I$7:$I$1006,I$6))</f>
        <v/>
      </c>
      <c r="J24" s="43">
        <f>IF($B24="","",SUMIFS(Transactions!$F$7:$F$1006,Transactions!$D$7:$D$1006,"Expense",Transactions!$E$7:$E$1006,$B24,Transactions!$I$7:$I$1006,J$6))</f>
        <v/>
      </c>
      <c r="K24" s="43">
        <f>IF($B24="","",SUMIFS(Transactions!$F$7:$F$1006,Transactions!$D$7:$D$1006,"Expense",Transactions!$E$7:$E$1006,$B24,Transactions!$I$7:$I$1006,K$6))</f>
        <v/>
      </c>
      <c r="L24" s="43">
        <f>IF($B24="","",SUMIFS(Transactions!$F$7:$F$1006,Transactions!$D$7:$D$1006,"Expense",Transactions!$E$7:$E$1006,$B24,Transactions!$I$7:$I$1006,L$6))</f>
        <v/>
      </c>
      <c r="M24" s="43">
        <f>IF($B24="","",SUMIFS(Transactions!$F$7:$F$1006,Transactions!$D$7:$D$1006,"Expense",Transactions!$E$7:$E$1006,$B24,Transactions!$I$7:$I$1006,M$6))</f>
        <v/>
      </c>
      <c r="N24" s="43">
        <f>IF($B24="","",SUMIFS(Transactions!$F$7:$F$1006,Transactions!$D$7:$D$1006,"Expense",Transactions!$E$7:$E$1006,$B24,Transactions!$I$7:$I$1006,N$6))</f>
        <v/>
      </c>
      <c r="O24" s="43">
        <f>IF($B24="","",SUM(C24:N24))</f>
        <v/>
      </c>
      <c r="P24" s="43">
        <f>IF($B24="","",IFERROR(O24/MAX(1,COUNTIF(C24:N24,"&gt;0")),0))</f>
        <v/>
      </c>
    </row>
    <row r="25">
      <c r="B25" s="46">
        <f>IF(Settings!B12="","",Settings!B12)</f>
        <v/>
      </c>
      <c r="C25" s="43">
        <f>IF($B25="","",SUMIFS(Transactions!$F$7:$F$1006,Transactions!$D$7:$D$1006,"Expense",Transactions!$E$7:$E$1006,$B25,Transactions!$I$7:$I$1006,C$6))</f>
        <v/>
      </c>
      <c r="D25" s="43">
        <f>IF($B25="","",SUMIFS(Transactions!$F$7:$F$1006,Transactions!$D$7:$D$1006,"Expense",Transactions!$E$7:$E$1006,$B25,Transactions!$I$7:$I$1006,D$6))</f>
        <v/>
      </c>
      <c r="E25" s="43">
        <f>IF($B25="","",SUMIFS(Transactions!$F$7:$F$1006,Transactions!$D$7:$D$1006,"Expense",Transactions!$E$7:$E$1006,$B25,Transactions!$I$7:$I$1006,E$6))</f>
        <v/>
      </c>
      <c r="F25" s="43">
        <f>IF($B25="","",SUMIFS(Transactions!$F$7:$F$1006,Transactions!$D$7:$D$1006,"Expense",Transactions!$E$7:$E$1006,$B25,Transactions!$I$7:$I$1006,F$6))</f>
        <v/>
      </c>
      <c r="G25" s="43">
        <f>IF($B25="","",SUMIFS(Transactions!$F$7:$F$1006,Transactions!$D$7:$D$1006,"Expense",Transactions!$E$7:$E$1006,$B25,Transactions!$I$7:$I$1006,G$6))</f>
        <v/>
      </c>
      <c r="H25" s="43">
        <f>IF($B25="","",SUMIFS(Transactions!$F$7:$F$1006,Transactions!$D$7:$D$1006,"Expense",Transactions!$E$7:$E$1006,$B25,Transactions!$I$7:$I$1006,H$6))</f>
        <v/>
      </c>
      <c r="I25" s="43">
        <f>IF($B25="","",SUMIFS(Transactions!$F$7:$F$1006,Transactions!$D$7:$D$1006,"Expense",Transactions!$E$7:$E$1006,$B25,Transactions!$I$7:$I$1006,I$6))</f>
        <v/>
      </c>
      <c r="J25" s="43">
        <f>IF($B25="","",SUMIFS(Transactions!$F$7:$F$1006,Transactions!$D$7:$D$1006,"Expense",Transactions!$E$7:$E$1006,$B25,Transactions!$I$7:$I$1006,J$6))</f>
        <v/>
      </c>
      <c r="K25" s="43">
        <f>IF($B25="","",SUMIFS(Transactions!$F$7:$F$1006,Transactions!$D$7:$D$1006,"Expense",Transactions!$E$7:$E$1006,$B25,Transactions!$I$7:$I$1006,K$6))</f>
        <v/>
      </c>
      <c r="L25" s="43">
        <f>IF($B25="","",SUMIFS(Transactions!$F$7:$F$1006,Transactions!$D$7:$D$1006,"Expense",Transactions!$E$7:$E$1006,$B25,Transactions!$I$7:$I$1006,L$6))</f>
        <v/>
      </c>
      <c r="M25" s="43">
        <f>IF($B25="","",SUMIFS(Transactions!$F$7:$F$1006,Transactions!$D$7:$D$1006,"Expense",Transactions!$E$7:$E$1006,$B25,Transactions!$I$7:$I$1006,M$6))</f>
        <v/>
      </c>
      <c r="N25" s="43">
        <f>IF($B25="","",SUMIFS(Transactions!$F$7:$F$1006,Transactions!$D$7:$D$1006,"Expense",Transactions!$E$7:$E$1006,$B25,Transactions!$I$7:$I$1006,N$6))</f>
        <v/>
      </c>
      <c r="O25" s="43">
        <f>IF($B25="","",SUM(C25:N25))</f>
        <v/>
      </c>
      <c r="P25" s="43">
        <f>IF($B25="","",IFERROR(O25/MAX(1,COUNTIF(C25:N25,"&gt;0")),0))</f>
        <v/>
      </c>
    </row>
    <row r="26">
      <c r="B26" s="46">
        <f>IF(Settings!B13="","",Settings!B13)</f>
        <v/>
      </c>
      <c r="C26" s="43">
        <f>IF($B26="","",SUMIFS(Transactions!$F$7:$F$1006,Transactions!$D$7:$D$1006,"Expense",Transactions!$E$7:$E$1006,$B26,Transactions!$I$7:$I$1006,C$6))</f>
        <v/>
      </c>
      <c r="D26" s="43">
        <f>IF($B26="","",SUMIFS(Transactions!$F$7:$F$1006,Transactions!$D$7:$D$1006,"Expense",Transactions!$E$7:$E$1006,$B26,Transactions!$I$7:$I$1006,D$6))</f>
        <v/>
      </c>
      <c r="E26" s="43">
        <f>IF($B26="","",SUMIFS(Transactions!$F$7:$F$1006,Transactions!$D$7:$D$1006,"Expense",Transactions!$E$7:$E$1006,$B26,Transactions!$I$7:$I$1006,E$6))</f>
        <v/>
      </c>
      <c r="F26" s="43">
        <f>IF($B26="","",SUMIFS(Transactions!$F$7:$F$1006,Transactions!$D$7:$D$1006,"Expense",Transactions!$E$7:$E$1006,$B26,Transactions!$I$7:$I$1006,F$6))</f>
        <v/>
      </c>
      <c r="G26" s="43">
        <f>IF($B26="","",SUMIFS(Transactions!$F$7:$F$1006,Transactions!$D$7:$D$1006,"Expense",Transactions!$E$7:$E$1006,$B26,Transactions!$I$7:$I$1006,G$6))</f>
        <v/>
      </c>
      <c r="H26" s="43">
        <f>IF($B26="","",SUMIFS(Transactions!$F$7:$F$1006,Transactions!$D$7:$D$1006,"Expense",Transactions!$E$7:$E$1006,$B26,Transactions!$I$7:$I$1006,H$6))</f>
        <v/>
      </c>
      <c r="I26" s="43">
        <f>IF($B26="","",SUMIFS(Transactions!$F$7:$F$1006,Transactions!$D$7:$D$1006,"Expense",Transactions!$E$7:$E$1006,$B26,Transactions!$I$7:$I$1006,I$6))</f>
        <v/>
      </c>
      <c r="J26" s="43">
        <f>IF($B26="","",SUMIFS(Transactions!$F$7:$F$1006,Transactions!$D$7:$D$1006,"Expense",Transactions!$E$7:$E$1006,$B26,Transactions!$I$7:$I$1006,J$6))</f>
        <v/>
      </c>
      <c r="K26" s="43">
        <f>IF($B26="","",SUMIFS(Transactions!$F$7:$F$1006,Transactions!$D$7:$D$1006,"Expense",Transactions!$E$7:$E$1006,$B26,Transactions!$I$7:$I$1006,K$6))</f>
        <v/>
      </c>
      <c r="L26" s="43">
        <f>IF($B26="","",SUMIFS(Transactions!$F$7:$F$1006,Transactions!$D$7:$D$1006,"Expense",Transactions!$E$7:$E$1006,$B26,Transactions!$I$7:$I$1006,L$6))</f>
        <v/>
      </c>
      <c r="M26" s="43">
        <f>IF($B26="","",SUMIFS(Transactions!$F$7:$F$1006,Transactions!$D$7:$D$1006,"Expense",Transactions!$E$7:$E$1006,$B26,Transactions!$I$7:$I$1006,M$6))</f>
        <v/>
      </c>
      <c r="N26" s="43">
        <f>IF($B26="","",SUMIFS(Transactions!$F$7:$F$1006,Transactions!$D$7:$D$1006,"Expense",Transactions!$E$7:$E$1006,$B26,Transactions!$I$7:$I$1006,N$6))</f>
        <v/>
      </c>
      <c r="O26" s="43">
        <f>IF($B26="","",SUM(C26:N26))</f>
        <v/>
      </c>
      <c r="P26" s="43">
        <f>IF($B26="","",IFERROR(O26/MAX(1,COUNTIF(C26:N26,"&gt;0")),0))</f>
        <v/>
      </c>
    </row>
    <row r="27">
      <c r="B27" s="46">
        <f>IF(Settings!B14="","",Settings!B14)</f>
        <v/>
      </c>
      <c r="C27" s="43">
        <f>IF($B27="","",SUMIFS(Transactions!$F$7:$F$1006,Transactions!$D$7:$D$1006,"Expense",Transactions!$E$7:$E$1006,$B27,Transactions!$I$7:$I$1006,C$6))</f>
        <v/>
      </c>
      <c r="D27" s="43">
        <f>IF($B27="","",SUMIFS(Transactions!$F$7:$F$1006,Transactions!$D$7:$D$1006,"Expense",Transactions!$E$7:$E$1006,$B27,Transactions!$I$7:$I$1006,D$6))</f>
        <v/>
      </c>
      <c r="E27" s="43">
        <f>IF($B27="","",SUMIFS(Transactions!$F$7:$F$1006,Transactions!$D$7:$D$1006,"Expense",Transactions!$E$7:$E$1006,$B27,Transactions!$I$7:$I$1006,E$6))</f>
        <v/>
      </c>
      <c r="F27" s="43">
        <f>IF($B27="","",SUMIFS(Transactions!$F$7:$F$1006,Transactions!$D$7:$D$1006,"Expense",Transactions!$E$7:$E$1006,$B27,Transactions!$I$7:$I$1006,F$6))</f>
        <v/>
      </c>
      <c r="G27" s="43">
        <f>IF($B27="","",SUMIFS(Transactions!$F$7:$F$1006,Transactions!$D$7:$D$1006,"Expense",Transactions!$E$7:$E$1006,$B27,Transactions!$I$7:$I$1006,G$6))</f>
        <v/>
      </c>
      <c r="H27" s="43">
        <f>IF($B27="","",SUMIFS(Transactions!$F$7:$F$1006,Transactions!$D$7:$D$1006,"Expense",Transactions!$E$7:$E$1006,$B27,Transactions!$I$7:$I$1006,H$6))</f>
        <v/>
      </c>
      <c r="I27" s="43">
        <f>IF($B27="","",SUMIFS(Transactions!$F$7:$F$1006,Transactions!$D$7:$D$1006,"Expense",Transactions!$E$7:$E$1006,$B27,Transactions!$I$7:$I$1006,I$6))</f>
        <v/>
      </c>
      <c r="J27" s="43">
        <f>IF($B27="","",SUMIFS(Transactions!$F$7:$F$1006,Transactions!$D$7:$D$1006,"Expense",Transactions!$E$7:$E$1006,$B27,Transactions!$I$7:$I$1006,J$6))</f>
        <v/>
      </c>
      <c r="K27" s="43">
        <f>IF($B27="","",SUMIFS(Transactions!$F$7:$F$1006,Transactions!$D$7:$D$1006,"Expense",Transactions!$E$7:$E$1006,$B27,Transactions!$I$7:$I$1006,K$6))</f>
        <v/>
      </c>
      <c r="L27" s="43">
        <f>IF($B27="","",SUMIFS(Transactions!$F$7:$F$1006,Transactions!$D$7:$D$1006,"Expense",Transactions!$E$7:$E$1006,$B27,Transactions!$I$7:$I$1006,L$6))</f>
        <v/>
      </c>
      <c r="M27" s="43">
        <f>IF($B27="","",SUMIFS(Transactions!$F$7:$F$1006,Transactions!$D$7:$D$1006,"Expense",Transactions!$E$7:$E$1006,$B27,Transactions!$I$7:$I$1006,M$6))</f>
        <v/>
      </c>
      <c r="N27" s="43">
        <f>IF($B27="","",SUMIFS(Transactions!$F$7:$F$1006,Transactions!$D$7:$D$1006,"Expense",Transactions!$E$7:$E$1006,$B27,Transactions!$I$7:$I$1006,N$6))</f>
        <v/>
      </c>
      <c r="O27" s="43">
        <f>IF($B27="","",SUM(C27:N27))</f>
        <v/>
      </c>
      <c r="P27" s="43">
        <f>IF($B27="","",IFERROR(O27/MAX(1,COUNTIF(C27:N27,"&gt;0")),0))</f>
        <v/>
      </c>
    </row>
    <row r="28">
      <c r="B28" s="46">
        <f>IF(Settings!B15="","",Settings!B15)</f>
        <v/>
      </c>
      <c r="C28" s="43">
        <f>IF($B28="","",SUMIFS(Transactions!$F$7:$F$1006,Transactions!$D$7:$D$1006,"Expense",Transactions!$E$7:$E$1006,$B28,Transactions!$I$7:$I$1006,C$6))</f>
        <v/>
      </c>
      <c r="D28" s="43">
        <f>IF($B28="","",SUMIFS(Transactions!$F$7:$F$1006,Transactions!$D$7:$D$1006,"Expense",Transactions!$E$7:$E$1006,$B28,Transactions!$I$7:$I$1006,D$6))</f>
        <v/>
      </c>
      <c r="E28" s="43">
        <f>IF($B28="","",SUMIFS(Transactions!$F$7:$F$1006,Transactions!$D$7:$D$1006,"Expense",Transactions!$E$7:$E$1006,$B28,Transactions!$I$7:$I$1006,E$6))</f>
        <v/>
      </c>
      <c r="F28" s="43">
        <f>IF($B28="","",SUMIFS(Transactions!$F$7:$F$1006,Transactions!$D$7:$D$1006,"Expense",Transactions!$E$7:$E$1006,$B28,Transactions!$I$7:$I$1006,F$6))</f>
        <v/>
      </c>
      <c r="G28" s="43">
        <f>IF($B28="","",SUMIFS(Transactions!$F$7:$F$1006,Transactions!$D$7:$D$1006,"Expense",Transactions!$E$7:$E$1006,$B28,Transactions!$I$7:$I$1006,G$6))</f>
        <v/>
      </c>
      <c r="H28" s="43">
        <f>IF($B28="","",SUMIFS(Transactions!$F$7:$F$1006,Transactions!$D$7:$D$1006,"Expense",Transactions!$E$7:$E$1006,$B28,Transactions!$I$7:$I$1006,H$6))</f>
        <v/>
      </c>
      <c r="I28" s="43">
        <f>IF($B28="","",SUMIFS(Transactions!$F$7:$F$1006,Transactions!$D$7:$D$1006,"Expense",Transactions!$E$7:$E$1006,$B28,Transactions!$I$7:$I$1006,I$6))</f>
        <v/>
      </c>
      <c r="J28" s="43">
        <f>IF($B28="","",SUMIFS(Transactions!$F$7:$F$1006,Transactions!$D$7:$D$1006,"Expense",Transactions!$E$7:$E$1006,$B28,Transactions!$I$7:$I$1006,J$6))</f>
        <v/>
      </c>
      <c r="K28" s="43">
        <f>IF($B28="","",SUMIFS(Transactions!$F$7:$F$1006,Transactions!$D$7:$D$1006,"Expense",Transactions!$E$7:$E$1006,$B28,Transactions!$I$7:$I$1006,K$6))</f>
        <v/>
      </c>
      <c r="L28" s="43">
        <f>IF($B28="","",SUMIFS(Transactions!$F$7:$F$1006,Transactions!$D$7:$D$1006,"Expense",Transactions!$E$7:$E$1006,$B28,Transactions!$I$7:$I$1006,L$6))</f>
        <v/>
      </c>
      <c r="M28" s="43">
        <f>IF($B28="","",SUMIFS(Transactions!$F$7:$F$1006,Transactions!$D$7:$D$1006,"Expense",Transactions!$E$7:$E$1006,$B28,Transactions!$I$7:$I$1006,M$6))</f>
        <v/>
      </c>
      <c r="N28" s="43">
        <f>IF($B28="","",SUMIFS(Transactions!$F$7:$F$1006,Transactions!$D$7:$D$1006,"Expense",Transactions!$E$7:$E$1006,$B28,Transactions!$I$7:$I$1006,N$6))</f>
        <v/>
      </c>
      <c r="O28" s="43">
        <f>IF($B28="","",SUM(C28:N28))</f>
        <v/>
      </c>
      <c r="P28" s="43">
        <f>IF($B28="","",IFERROR(O28/MAX(1,COUNTIF(C28:N28,"&gt;0")),0))</f>
        <v/>
      </c>
    </row>
    <row r="29">
      <c r="B29" s="46">
        <f>IF(Settings!B16="","",Settings!B16)</f>
        <v/>
      </c>
      <c r="C29" s="43">
        <f>IF($B29="","",SUMIFS(Transactions!$F$7:$F$1006,Transactions!$D$7:$D$1006,"Expense",Transactions!$E$7:$E$1006,$B29,Transactions!$I$7:$I$1006,C$6))</f>
        <v/>
      </c>
      <c r="D29" s="43">
        <f>IF($B29="","",SUMIFS(Transactions!$F$7:$F$1006,Transactions!$D$7:$D$1006,"Expense",Transactions!$E$7:$E$1006,$B29,Transactions!$I$7:$I$1006,D$6))</f>
        <v/>
      </c>
      <c r="E29" s="43">
        <f>IF($B29="","",SUMIFS(Transactions!$F$7:$F$1006,Transactions!$D$7:$D$1006,"Expense",Transactions!$E$7:$E$1006,$B29,Transactions!$I$7:$I$1006,E$6))</f>
        <v/>
      </c>
      <c r="F29" s="43">
        <f>IF($B29="","",SUMIFS(Transactions!$F$7:$F$1006,Transactions!$D$7:$D$1006,"Expense",Transactions!$E$7:$E$1006,$B29,Transactions!$I$7:$I$1006,F$6))</f>
        <v/>
      </c>
      <c r="G29" s="43">
        <f>IF($B29="","",SUMIFS(Transactions!$F$7:$F$1006,Transactions!$D$7:$D$1006,"Expense",Transactions!$E$7:$E$1006,$B29,Transactions!$I$7:$I$1006,G$6))</f>
        <v/>
      </c>
      <c r="H29" s="43">
        <f>IF($B29="","",SUMIFS(Transactions!$F$7:$F$1006,Transactions!$D$7:$D$1006,"Expense",Transactions!$E$7:$E$1006,$B29,Transactions!$I$7:$I$1006,H$6))</f>
        <v/>
      </c>
      <c r="I29" s="43">
        <f>IF($B29="","",SUMIFS(Transactions!$F$7:$F$1006,Transactions!$D$7:$D$1006,"Expense",Transactions!$E$7:$E$1006,$B29,Transactions!$I$7:$I$1006,I$6))</f>
        <v/>
      </c>
      <c r="J29" s="43">
        <f>IF($B29="","",SUMIFS(Transactions!$F$7:$F$1006,Transactions!$D$7:$D$1006,"Expense",Transactions!$E$7:$E$1006,$B29,Transactions!$I$7:$I$1006,J$6))</f>
        <v/>
      </c>
      <c r="K29" s="43">
        <f>IF($B29="","",SUMIFS(Transactions!$F$7:$F$1006,Transactions!$D$7:$D$1006,"Expense",Transactions!$E$7:$E$1006,$B29,Transactions!$I$7:$I$1006,K$6))</f>
        <v/>
      </c>
      <c r="L29" s="43">
        <f>IF($B29="","",SUMIFS(Transactions!$F$7:$F$1006,Transactions!$D$7:$D$1006,"Expense",Transactions!$E$7:$E$1006,$B29,Transactions!$I$7:$I$1006,L$6))</f>
        <v/>
      </c>
      <c r="M29" s="43">
        <f>IF($B29="","",SUMIFS(Transactions!$F$7:$F$1006,Transactions!$D$7:$D$1006,"Expense",Transactions!$E$7:$E$1006,$B29,Transactions!$I$7:$I$1006,M$6))</f>
        <v/>
      </c>
      <c r="N29" s="43">
        <f>IF($B29="","",SUMIFS(Transactions!$F$7:$F$1006,Transactions!$D$7:$D$1006,"Expense",Transactions!$E$7:$E$1006,$B29,Transactions!$I$7:$I$1006,N$6))</f>
        <v/>
      </c>
      <c r="O29" s="43">
        <f>IF($B29="","",SUM(C29:N29))</f>
        <v/>
      </c>
      <c r="P29" s="43">
        <f>IF($B29="","",IFERROR(O29/MAX(1,COUNTIF(C29:N29,"&gt;0")),0))</f>
        <v/>
      </c>
    </row>
    <row r="30">
      <c r="B30" s="46">
        <f>IF(Settings!B17="","",Settings!B17)</f>
        <v/>
      </c>
      <c r="C30" s="43">
        <f>IF($B30="","",SUMIFS(Transactions!$F$7:$F$1006,Transactions!$D$7:$D$1006,"Expense",Transactions!$E$7:$E$1006,$B30,Transactions!$I$7:$I$1006,C$6))</f>
        <v/>
      </c>
      <c r="D30" s="43">
        <f>IF($B30="","",SUMIFS(Transactions!$F$7:$F$1006,Transactions!$D$7:$D$1006,"Expense",Transactions!$E$7:$E$1006,$B30,Transactions!$I$7:$I$1006,D$6))</f>
        <v/>
      </c>
      <c r="E30" s="43">
        <f>IF($B30="","",SUMIFS(Transactions!$F$7:$F$1006,Transactions!$D$7:$D$1006,"Expense",Transactions!$E$7:$E$1006,$B30,Transactions!$I$7:$I$1006,E$6))</f>
        <v/>
      </c>
      <c r="F30" s="43">
        <f>IF($B30="","",SUMIFS(Transactions!$F$7:$F$1006,Transactions!$D$7:$D$1006,"Expense",Transactions!$E$7:$E$1006,$B30,Transactions!$I$7:$I$1006,F$6))</f>
        <v/>
      </c>
      <c r="G30" s="43">
        <f>IF($B30="","",SUMIFS(Transactions!$F$7:$F$1006,Transactions!$D$7:$D$1006,"Expense",Transactions!$E$7:$E$1006,$B30,Transactions!$I$7:$I$1006,G$6))</f>
        <v/>
      </c>
      <c r="H30" s="43">
        <f>IF($B30="","",SUMIFS(Transactions!$F$7:$F$1006,Transactions!$D$7:$D$1006,"Expense",Transactions!$E$7:$E$1006,$B30,Transactions!$I$7:$I$1006,H$6))</f>
        <v/>
      </c>
      <c r="I30" s="43">
        <f>IF($B30="","",SUMIFS(Transactions!$F$7:$F$1006,Transactions!$D$7:$D$1006,"Expense",Transactions!$E$7:$E$1006,$B30,Transactions!$I$7:$I$1006,I$6))</f>
        <v/>
      </c>
      <c r="J30" s="43">
        <f>IF($B30="","",SUMIFS(Transactions!$F$7:$F$1006,Transactions!$D$7:$D$1006,"Expense",Transactions!$E$7:$E$1006,$B30,Transactions!$I$7:$I$1006,J$6))</f>
        <v/>
      </c>
      <c r="K30" s="43">
        <f>IF($B30="","",SUMIFS(Transactions!$F$7:$F$1006,Transactions!$D$7:$D$1006,"Expense",Transactions!$E$7:$E$1006,$B30,Transactions!$I$7:$I$1006,K$6))</f>
        <v/>
      </c>
      <c r="L30" s="43">
        <f>IF($B30="","",SUMIFS(Transactions!$F$7:$F$1006,Transactions!$D$7:$D$1006,"Expense",Transactions!$E$7:$E$1006,$B30,Transactions!$I$7:$I$1006,L$6))</f>
        <v/>
      </c>
      <c r="M30" s="43">
        <f>IF($B30="","",SUMIFS(Transactions!$F$7:$F$1006,Transactions!$D$7:$D$1006,"Expense",Transactions!$E$7:$E$1006,$B30,Transactions!$I$7:$I$1006,M$6))</f>
        <v/>
      </c>
      <c r="N30" s="43">
        <f>IF($B30="","",SUMIFS(Transactions!$F$7:$F$1006,Transactions!$D$7:$D$1006,"Expense",Transactions!$E$7:$E$1006,$B30,Transactions!$I$7:$I$1006,N$6))</f>
        <v/>
      </c>
      <c r="O30" s="43">
        <f>IF($B30="","",SUM(C30:N30))</f>
        <v/>
      </c>
      <c r="P30" s="43">
        <f>IF($B30="","",IFERROR(O30/MAX(1,COUNTIF(C30:N30,"&gt;0")),0))</f>
        <v/>
      </c>
    </row>
    <row r="31">
      <c r="B31" s="46">
        <f>IF(Settings!B18="","",Settings!B18)</f>
        <v/>
      </c>
      <c r="C31" s="43">
        <f>IF($B31="","",SUMIFS(Transactions!$F$7:$F$1006,Transactions!$D$7:$D$1006,"Expense",Transactions!$E$7:$E$1006,$B31,Transactions!$I$7:$I$1006,C$6))</f>
        <v/>
      </c>
      <c r="D31" s="43">
        <f>IF($B31="","",SUMIFS(Transactions!$F$7:$F$1006,Transactions!$D$7:$D$1006,"Expense",Transactions!$E$7:$E$1006,$B31,Transactions!$I$7:$I$1006,D$6))</f>
        <v/>
      </c>
      <c r="E31" s="43">
        <f>IF($B31="","",SUMIFS(Transactions!$F$7:$F$1006,Transactions!$D$7:$D$1006,"Expense",Transactions!$E$7:$E$1006,$B31,Transactions!$I$7:$I$1006,E$6))</f>
        <v/>
      </c>
      <c r="F31" s="43">
        <f>IF($B31="","",SUMIFS(Transactions!$F$7:$F$1006,Transactions!$D$7:$D$1006,"Expense",Transactions!$E$7:$E$1006,$B31,Transactions!$I$7:$I$1006,F$6))</f>
        <v/>
      </c>
      <c r="G31" s="43">
        <f>IF($B31="","",SUMIFS(Transactions!$F$7:$F$1006,Transactions!$D$7:$D$1006,"Expense",Transactions!$E$7:$E$1006,$B31,Transactions!$I$7:$I$1006,G$6))</f>
        <v/>
      </c>
      <c r="H31" s="43">
        <f>IF($B31="","",SUMIFS(Transactions!$F$7:$F$1006,Transactions!$D$7:$D$1006,"Expense",Transactions!$E$7:$E$1006,$B31,Transactions!$I$7:$I$1006,H$6))</f>
        <v/>
      </c>
      <c r="I31" s="43">
        <f>IF($B31="","",SUMIFS(Transactions!$F$7:$F$1006,Transactions!$D$7:$D$1006,"Expense",Transactions!$E$7:$E$1006,$B31,Transactions!$I$7:$I$1006,I$6))</f>
        <v/>
      </c>
      <c r="J31" s="43">
        <f>IF($B31="","",SUMIFS(Transactions!$F$7:$F$1006,Transactions!$D$7:$D$1006,"Expense",Transactions!$E$7:$E$1006,$B31,Transactions!$I$7:$I$1006,J$6))</f>
        <v/>
      </c>
      <c r="K31" s="43">
        <f>IF($B31="","",SUMIFS(Transactions!$F$7:$F$1006,Transactions!$D$7:$D$1006,"Expense",Transactions!$E$7:$E$1006,$B31,Transactions!$I$7:$I$1006,K$6))</f>
        <v/>
      </c>
      <c r="L31" s="43">
        <f>IF($B31="","",SUMIFS(Transactions!$F$7:$F$1006,Transactions!$D$7:$D$1006,"Expense",Transactions!$E$7:$E$1006,$B31,Transactions!$I$7:$I$1006,L$6))</f>
        <v/>
      </c>
      <c r="M31" s="43">
        <f>IF($B31="","",SUMIFS(Transactions!$F$7:$F$1006,Transactions!$D$7:$D$1006,"Expense",Transactions!$E$7:$E$1006,$B31,Transactions!$I$7:$I$1006,M$6))</f>
        <v/>
      </c>
      <c r="N31" s="43">
        <f>IF($B31="","",SUMIFS(Transactions!$F$7:$F$1006,Transactions!$D$7:$D$1006,"Expense",Transactions!$E$7:$E$1006,$B31,Transactions!$I$7:$I$1006,N$6))</f>
        <v/>
      </c>
      <c r="O31" s="43">
        <f>IF($B31="","",SUM(C31:N31))</f>
        <v/>
      </c>
      <c r="P31" s="43">
        <f>IF($B31="","",IFERROR(O31/MAX(1,COUNTIF(C31:N31,"&gt;0")),0))</f>
        <v/>
      </c>
    </row>
    <row r="32">
      <c r="B32" s="46">
        <f>IF(Settings!B19="","",Settings!B19)</f>
        <v/>
      </c>
      <c r="C32" s="43">
        <f>IF($B32="","",SUMIFS(Transactions!$F$7:$F$1006,Transactions!$D$7:$D$1006,"Expense",Transactions!$E$7:$E$1006,$B32,Transactions!$I$7:$I$1006,C$6))</f>
        <v/>
      </c>
      <c r="D32" s="43">
        <f>IF($B32="","",SUMIFS(Transactions!$F$7:$F$1006,Transactions!$D$7:$D$1006,"Expense",Transactions!$E$7:$E$1006,$B32,Transactions!$I$7:$I$1006,D$6))</f>
        <v/>
      </c>
      <c r="E32" s="43">
        <f>IF($B32="","",SUMIFS(Transactions!$F$7:$F$1006,Transactions!$D$7:$D$1006,"Expense",Transactions!$E$7:$E$1006,$B32,Transactions!$I$7:$I$1006,E$6))</f>
        <v/>
      </c>
      <c r="F32" s="43">
        <f>IF($B32="","",SUMIFS(Transactions!$F$7:$F$1006,Transactions!$D$7:$D$1006,"Expense",Transactions!$E$7:$E$1006,$B32,Transactions!$I$7:$I$1006,F$6))</f>
        <v/>
      </c>
      <c r="G32" s="43">
        <f>IF($B32="","",SUMIFS(Transactions!$F$7:$F$1006,Transactions!$D$7:$D$1006,"Expense",Transactions!$E$7:$E$1006,$B32,Transactions!$I$7:$I$1006,G$6))</f>
        <v/>
      </c>
      <c r="H32" s="43">
        <f>IF($B32="","",SUMIFS(Transactions!$F$7:$F$1006,Transactions!$D$7:$D$1006,"Expense",Transactions!$E$7:$E$1006,$B32,Transactions!$I$7:$I$1006,H$6))</f>
        <v/>
      </c>
      <c r="I32" s="43">
        <f>IF($B32="","",SUMIFS(Transactions!$F$7:$F$1006,Transactions!$D$7:$D$1006,"Expense",Transactions!$E$7:$E$1006,$B32,Transactions!$I$7:$I$1006,I$6))</f>
        <v/>
      </c>
      <c r="J32" s="43">
        <f>IF($B32="","",SUMIFS(Transactions!$F$7:$F$1006,Transactions!$D$7:$D$1006,"Expense",Transactions!$E$7:$E$1006,$B32,Transactions!$I$7:$I$1006,J$6))</f>
        <v/>
      </c>
      <c r="K32" s="43">
        <f>IF($B32="","",SUMIFS(Transactions!$F$7:$F$1006,Transactions!$D$7:$D$1006,"Expense",Transactions!$E$7:$E$1006,$B32,Transactions!$I$7:$I$1006,K$6))</f>
        <v/>
      </c>
      <c r="L32" s="43">
        <f>IF($B32="","",SUMIFS(Transactions!$F$7:$F$1006,Transactions!$D$7:$D$1006,"Expense",Transactions!$E$7:$E$1006,$B32,Transactions!$I$7:$I$1006,L$6))</f>
        <v/>
      </c>
      <c r="M32" s="43">
        <f>IF($B32="","",SUMIFS(Transactions!$F$7:$F$1006,Transactions!$D$7:$D$1006,"Expense",Transactions!$E$7:$E$1006,$B32,Transactions!$I$7:$I$1006,M$6))</f>
        <v/>
      </c>
      <c r="N32" s="43">
        <f>IF($B32="","",SUMIFS(Transactions!$F$7:$F$1006,Transactions!$D$7:$D$1006,"Expense",Transactions!$E$7:$E$1006,$B32,Transactions!$I$7:$I$1006,N$6))</f>
        <v/>
      </c>
      <c r="O32" s="43">
        <f>IF($B32="","",SUM(C32:N32))</f>
        <v/>
      </c>
      <c r="P32" s="43">
        <f>IF($B32="","",IFERROR(O32/MAX(1,COUNTIF(C32:N32,"&gt;0")),0))</f>
        <v/>
      </c>
    </row>
    <row r="33">
      <c r="B33" s="46">
        <f>IF(Settings!B20="","",Settings!B20)</f>
        <v/>
      </c>
      <c r="C33" s="43">
        <f>IF($B33="","",SUMIFS(Transactions!$F$7:$F$1006,Transactions!$D$7:$D$1006,"Expense",Transactions!$E$7:$E$1006,$B33,Transactions!$I$7:$I$1006,C$6))</f>
        <v/>
      </c>
      <c r="D33" s="43">
        <f>IF($B33="","",SUMIFS(Transactions!$F$7:$F$1006,Transactions!$D$7:$D$1006,"Expense",Transactions!$E$7:$E$1006,$B33,Transactions!$I$7:$I$1006,D$6))</f>
        <v/>
      </c>
      <c r="E33" s="43">
        <f>IF($B33="","",SUMIFS(Transactions!$F$7:$F$1006,Transactions!$D$7:$D$1006,"Expense",Transactions!$E$7:$E$1006,$B33,Transactions!$I$7:$I$1006,E$6))</f>
        <v/>
      </c>
      <c r="F33" s="43">
        <f>IF($B33="","",SUMIFS(Transactions!$F$7:$F$1006,Transactions!$D$7:$D$1006,"Expense",Transactions!$E$7:$E$1006,$B33,Transactions!$I$7:$I$1006,F$6))</f>
        <v/>
      </c>
      <c r="G33" s="43">
        <f>IF($B33="","",SUMIFS(Transactions!$F$7:$F$1006,Transactions!$D$7:$D$1006,"Expense",Transactions!$E$7:$E$1006,$B33,Transactions!$I$7:$I$1006,G$6))</f>
        <v/>
      </c>
      <c r="H33" s="43">
        <f>IF($B33="","",SUMIFS(Transactions!$F$7:$F$1006,Transactions!$D$7:$D$1006,"Expense",Transactions!$E$7:$E$1006,$B33,Transactions!$I$7:$I$1006,H$6))</f>
        <v/>
      </c>
      <c r="I33" s="43">
        <f>IF($B33="","",SUMIFS(Transactions!$F$7:$F$1006,Transactions!$D$7:$D$1006,"Expense",Transactions!$E$7:$E$1006,$B33,Transactions!$I$7:$I$1006,I$6))</f>
        <v/>
      </c>
      <c r="J33" s="43">
        <f>IF($B33="","",SUMIFS(Transactions!$F$7:$F$1006,Transactions!$D$7:$D$1006,"Expense",Transactions!$E$7:$E$1006,$B33,Transactions!$I$7:$I$1006,J$6))</f>
        <v/>
      </c>
      <c r="K33" s="43">
        <f>IF($B33="","",SUMIFS(Transactions!$F$7:$F$1006,Transactions!$D$7:$D$1006,"Expense",Transactions!$E$7:$E$1006,$B33,Transactions!$I$7:$I$1006,K$6))</f>
        <v/>
      </c>
      <c r="L33" s="43">
        <f>IF($B33="","",SUMIFS(Transactions!$F$7:$F$1006,Transactions!$D$7:$D$1006,"Expense",Transactions!$E$7:$E$1006,$B33,Transactions!$I$7:$I$1006,L$6))</f>
        <v/>
      </c>
      <c r="M33" s="43">
        <f>IF($B33="","",SUMIFS(Transactions!$F$7:$F$1006,Transactions!$D$7:$D$1006,"Expense",Transactions!$E$7:$E$1006,$B33,Transactions!$I$7:$I$1006,M$6))</f>
        <v/>
      </c>
      <c r="N33" s="43">
        <f>IF($B33="","",SUMIFS(Transactions!$F$7:$F$1006,Transactions!$D$7:$D$1006,"Expense",Transactions!$E$7:$E$1006,$B33,Transactions!$I$7:$I$1006,N$6))</f>
        <v/>
      </c>
      <c r="O33" s="43">
        <f>IF($B33="","",SUM(C33:N33))</f>
        <v/>
      </c>
      <c r="P33" s="43">
        <f>IF($B33="","",IFERROR(O33/MAX(1,COUNTIF(C33:N33,"&gt;0")),0))</f>
        <v/>
      </c>
    </row>
    <row r="34">
      <c r="B34" s="46">
        <f>IF(Settings!B21="","",Settings!B21)</f>
        <v/>
      </c>
      <c r="C34" s="43">
        <f>IF($B34="","",SUMIFS(Transactions!$F$7:$F$1006,Transactions!$D$7:$D$1006,"Expense",Transactions!$E$7:$E$1006,$B34,Transactions!$I$7:$I$1006,C$6))</f>
        <v/>
      </c>
      <c r="D34" s="43">
        <f>IF($B34="","",SUMIFS(Transactions!$F$7:$F$1006,Transactions!$D$7:$D$1006,"Expense",Transactions!$E$7:$E$1006,$B34,Transactions!$I$7:$I$1006,D$6))</f>
        <v/>
      </c>
      <c r="E34" s="43">
        <f>IF($B34="","",SUMIFS(Transactions!$F$7:$F$1006,Transactions!$D$7:$D$1006,"Expense",Transactions!$E$7:$E$1006,$B34,Transactions!$I$7:$I$1006,E$6))</f>
        <v/>
      </c>
      <c r="F34" s="43">
        <f>IF($B34="","",SUMIFS(Transactions!$F$7:$F$1006,Transactions!$D$7:$D$1006,"Expense",Transactions!$E$7:$E$1006,$B34,Transactions!$I$7:$I$1006,F$6))</f>
        <v/>
      </c>
      <c r="G34" s="43">
        <f>IF($B34="","",SUMIFS(Transactions!$F$7:$F$1006,Transactions!$D$7:$D$1006,"Expense",Transactions!$E$7:$E$1006,$B34,Transactions!$I$7:$I$1006,G$6))</f>
        <v/>
      </c>
      <c r="H34" s="43">
        <f>IF($B34="","",SUMIFS(Transactions!$F$7:$F$1006,Transactions!$D$7:$D$1006,"Expense",Transactions!$E$7:$E$1006,$B34,Transactions!$I$7:$I$1006,H$6))</f>
        <v/>
      </c>
      <c r="I34" s="43">
        <f>IF($B34="","",SUMIFS(Transactions!$F$7:$F$1006,Transactions!$D$7:$D$1006,"Expense",Transactions!$E$7:$E$1006,$B34,Transactions!$I$7:$I$1006,I$6))</f>
        <v/>
      </c>
      <c r="J34" s="43">
        <f>IF($B34="","",SUMIFS(Transactions!$F$7:$F$1006,Transactions!$D$7:$D$1006,"Expense",Transactions!$E$7:$E$1006,$B34,Transactions!$I$7:$I$1006,J$6))</f>
        <v/>
      </c>
      <c r="K34" s="43">
        <f>IF($B34="","",SUMIFS(Transactions!$F$7:$F$1006,Transactions!$D$7:$D$1006,"Expense",Transactions!$E$7:$E$1006,$B34,Transactions!$I$7:$I$1006,K$6))</f>
        <v/>
      </c>
      <c r="L34" s="43">
        <f>IF($B34="","",SUMIFS(Transactions!$F$7:$F$1006,Transactions!$D$7:$D$1006,"Expense",Transactions!$E$7:$E$1006,$B34,Transactions!$I$7:$I$1006,L$6))</f>
        <v/>
      </c>
      <c r="M34" s="43">
        <f>IF($B34="","",SUMIFS(Transactions!$F$7:$F$1006,Transactions!$D$7:$D$1006,"Expense",Transactions!$E$7:$E$1006,$B34,Transactions!$I$7:$I$1006,M$6))</f>
        <v/>
      </c>
      <c r="N34" s="43">
        <f>IF($B34="","",SUMIFS(Transactions!$F$7:$F$1006,Transactions!$D$7:$D$1006,"Expense",Transactions!$E$7:$E$1006,$B34,Transactions!$I$7:$I$1006,N$6))</f>
        <v/>
      </c>
      <c r="O34" s="43">
        <f>IF($B34="","",SUM(C34:N34))</f>
        <v/>
      </c>
      <c r="P34" s="43">
        <f>IF($B34="","",IFERROR(O34/MAX(1,COUNTIF(C34:N34,"&gt;0")),0))</f>
        <v/>
      </c>
    </row>
    <row r="35">
      <c r="B35" s="46">
        <f>IF(Settings!B22="","",Settings!B22)</f>
        <v/>
      </c>
      <c r="C35" s="43">
        <f>IF($B35="","",SUMIFS(Transactions!$F$7:$F$1006,Transactions!$D$7:$D$1006,"Expense",Transactions!$E$7:$E$1006,$B35,Transactions!$I$7:$I$1006,C$6))</f>
        <v/>
      </c>
      <c r="D35" s="43">
        <f>IF($B35="","",SUMIFS(Transactions!$F$7:$F$1006,Transactions!$D$7:$D$1006,"Expense",Transactions!$E$7:$E$1006,$B35,Transactions!$I$7:$I$1006,D$6))</f>
        <v/>
      </c>
      <c r="E35" s="43">
        <f>IF($B35="","",SUMIFS(Transactions!$F$7:$F$1006,Transactions!$D$7:$D$1006,"Expense",Transactions!$E$7:$E$1006,$B35,Transactions!$I$7:$I$1006,E$6))</f>
        <v/>
      </c>
      <c r="F35" s="43">
        <f>IF($B35="","",SUMIFS(Transactions!$F$7:$F$1006,Transactions!$D$7:$D$1006,"Expense",Transactions!$E$7:$E$1006,$B35,Transactions!$I$7:$I$1006,F$6))</f>
        <v/>
      </c>
      <c r="G35" s="43">
        <f>IF($B35="","",SUMIFS(Transactions!$F$7:$F$1006,Transactions!$D$7:$D$1006,"Expense",Transactions!$E$7:$E$1006,$B35,Transactions!$I$7:$I$1006,G$6))</f>
        <v/>
      </c>
      <c r="H35" s="43">
        <f>IF($B35="","",SUMIFS(Transactions!$F$7:$F$1006,Transactions!$D$7:$D$1006,"Expense",Transactions!$E$7:$E$1006,$B35,Transactions!$I$7:$I$1006,H$6))</f>
        <v/>
      </c>
      <c r="I35" s="43">
        <f>IF($B35="","",SUMIFS(Transactions!$F$7:$F$1006,Transactions!$D$7:$D$1006,"Expense",Transactions!$E$7:$E$1006,$B35,Transactions!$I$7:$I$1006,I$6))</f>
        <v/>
      </c>
      <c r="J35" s="43">
        <f>IF($B35="","",SUMIFS(Transactions!$F$7:$F$1006,Transactions!$D$7:$D$1006,"Expense",Transactions!$E$7:$E$1006,$B35,Transactions!$I$7:$I$1006,J$6))</f>
        <v/>
      </c>
      <c r="K35" s="43">
        <f>IF($B35="","",SUMIFS(Transactions!$F$7:$F$1006,Transactions!$D$7:$D$1006,"Expense",Transactions!$E$7:$E$1006,$B35,Transactions!$I$7:$I$1006,K$6))</f>
        <v/>
      </c>
      <c r="L35" s="43">
        <f>IF($B35="","",SUMIFS(Transactions!$F$7:$F$1006,Transactions!$D$7:$D$1006,"Expense",Transactions!$E$7:$E$1006,$B35,Transactions!$I$7:$I$1006,L$6))</f>
        <v/>
      </c>
      <c r="M35" s="43">
        <f>IF($B35="","",SUMIFS(Transactions!$F$7:$F$1006,Transactions!$D$7:$D$1006,"Expense",Transactions!$E$7:$E$1006,$B35,Transactions!$I$7:$I$1006,M$6))</f>
        <v/>
      </c>
      <c r="N35" s="43">
        <f>IF($B35="","",SUMIFS(Transactions!$F$7:$F$1006,Transactions!$D$7:$D$1006,"Expense",Transactions!$E$7:$E$1006,$B35,Transactions!$I$7:$I$1006,N$6))</f>
        <v/>
      </c>
      <c r="O35" s="43">
        <f>IF($B35="","",SUM(C35:N35))</f>
        <v/>
      </c>
      <c r="P35" s="43">
        <f>IF($B35="","",IFERROR(O35/MAX(1,COUNTIF(C35:N35,"&gt;0")),0))</f>
        <v/>
      </c>
    </row>
    <row r="36">
      <c r="B36" s="46">
        <f>IF(Settings!B23="","",Settings!B23)</f>
        <v/>
      </c>
      <c r="C36" s="43">
        <f>IF($B36="","",SUMIFS(Transactions!$F$7:$F$1006,Transactions!$D$7:$D$1006,"Expense",Transactions!$E$7:$E$1006,$B36,Transactions!$I$7:$I$1006,C$6))</f>
        <v/>
      </c>
      <c r="D36" s="43">
        <f>IF($B36="","",SUMIFS(Transactions!$F$7:$F$1006,Transactions!$D$7:$D$1006,"Expense",Transactions!$E$7:$E$1006,$B36,Transactions!$I$7:$I$1006,D$6))</f>
        <v/>
      </c>
      <c r="E36" s="43">
        <f>IF($B36="","",SUMIFS(Transactions!$F$7:$F$1006,Transactions!$D$7:$D$1006,"Expense",Transactions!$E$7:$E$1006,$B36,Transactions!$I$7:$I$1006,E$6))</f>
        <v/>
      </c>
      <c r="F36" s="43">
        <f>IF($B36="","",SUMIFS(Transactions!$F$7:$F$1006,Transactions!$D$7:$D$1006,"Expense",Transactions!$E$7:$E$1006,$B36,Transactions!$I$7:$I$1006,F$6))</f>
        <v/>
      </c>
      <c r="G36" s="43">
        <f>IF($B36="","",SUMIFS(Transactions!$F$7:$F$1006,Transactions!$D$7:$D$1006,"Expense",Transactions!$E$7:$E$1006,$B36,Transactions!$I$7:$I$1006,G$6))</f>
        <v/>
      </c>
      <c r="H36" s="43">
        <f>IF($B36="","",SUMIFS(Transactions!$F$7:$F$1006,Transactions!$D$7:$D$1006,"Expense",Transactions!$E$7:$E$1006,$B36,Transactions!$I$7:$I$1006,H$6))</f>
        <v/>
      </c>
      <c r="I36" s="43">
        <f>IF($B36="","",SUMIFS(Transactions!$F$7:$F$1006,Transactions!$D$7:$D$1006,"Expense",Transactions!$E$7:$E$1006,$B36,Transactions!$I$7:$I$1006,I$6))</f>
        <v/>
      </c>
      <c r="J36" s="43">
        <f>IF($B36="","",SUMIFS(Transactions!$F$7:$F$1006,Transactions!$D$7:$D$1006,"Expense",Transactions!$E$7:$E$1006,$B36,Transactions!$I$7:$I$1006,J$6))</f>
        <v/>
      </c>
      <c r="K36" s="43">
        <f>IF($B36="","",SUMIFS(Transactions!$F$7:$F$1006,Transactions!$D$7:$D$1006,"Expense",Transactions!$E$7:$E$1006,$B36,Transactions!$I$7:$I$1006,K$6))</f>
        <v/>
      </c>
      <c r="L36" s="43">
        <f>IF($B36="","",SUMIFS(Transactions!$F$7:$F$1006,Transactions!$D$7:$D$1006,"Expense",Transactions!$E$7:$E$1006,$B36,Transactions!$I$7:$I$1006,L$6))</f>
        <v/>
      </c>
      <c r="M36" s="43">
        <f>IF($B36="","",SUMIFS(Transactions!$F$7:$F$1006,Transactions!$D$7:$D$1006,"Expense",Transactions!$E$7:$E$1006,$B36,Transactions!$I$7:$I$1006,M$6))</f>
        <v/>
      </c>
      <c r="N36" s="43">
        <f>IF($B36="","",SUMIFS(Transactions!$F$7:$F$1006,Transactions!$D$7:$D$1006,"Expense",Transactions!$E$7:$E$1006,$B36,Transactions!$I$7:$I$1006,N$6))</f>
        <v/>
      </c>
      <c r="O36" s="43">
        <f>IF($B36="","",SUM(C36:N36))</f>
        <v/>
      </c>
      <c r="P36" s="43">
        <f>IF($B36="","",IFERROR(O36/MAX(1,COUNTIF(C36:N36,"&gt;0")),0))</f>
        <v/>
      </c>
    </row>
    <row r="37">
      <c r="B37" s="46">
        <f>IF(Settings!B24="","",Settings!B24)</f>
        <v/>
      </c>
      <c r="C37" s="43">
        <f>IF($B37="","",SUMIFS(Transactions!$F$7:$F$1006,Transactions!$D$7:$D$1006,"Expense",Transactions!$E$7:$E$1006,$B37,Transactions!$I$7:$I$1006,C$6))</f>
        <v/>
      </c>
      <c r="D37" s="43">
        <f>IF($B37="","",SUMIFS(Transactions!$F$7:$F$1006,Transactions!$D$7:$D$1006,"Expense",Transactions!$E$7:$E$1006,$B37,Transactions!$I$7:$I$1006,D$6))</f>
        <v/>
      </c>
      <c r="E37" s="43">
        <f>IF($B37="","",SUMIFS(Transactions!$F$7:$F$1006,Transactions!$D$7:$D$1006,"Expense",Transactions!$E$7:$E$1006,$B37,Transactions!$I$7:$I$1006,E$6))</f>
        <v/>
      </c>
      <c r="F37" s="43">
        <f>IF($B37="","",SUMIFS(Transactions!$F$7:$F$1006,Transactions!$D$7:$D$1006,"Expense",Transactions!$E$7:$E$1006,$B37,Transactions!$I$7:$I$1006,F$6))</f>
        <v/>
      </c>
      <c r="G37" s="43">
        <f>IF($B37="","",SUMIFS(Transactions!$F$7:$F$1006,Transactions!$D$7:$D$1006,"Expense",Transactions!$E$7:$E$1006,$B37,Transactions!$I$7:$I$1006,G$6))</f>
        <v/>
      </c>
      <c r="H37" s="43">
        <f>IF($B37="","",SUMIFS(Transactions!$F$7:$F$1006,Transactions!$D$7:$D$1006,"Expense",Transactions!$E$7:$E$1006,$B37,Transactions!$I$7:$I$1006,H$6))</f>
        <v/>
      </c>
      <c r="I37" s="43">
        <f>IF($B37="","",SUMIFS(Transactions!$F$7:$F$1006,Transactions!$D$7:$D$1006,"Expense",Transactions!$E$7:$E$1006,$B37,Transactions!$I$7:$I$1006,I$6))</f>
        <v/>
      </c>
      <c r="J37" s="43">
        <f>IF($B37="","",SUMIFS(Transactions!$F$7:$F$1006,Transactions!$D$7:$D$1006,"Expense",Transactions!$E$7:$E$1006,$B37,Transactions!$I$7:$I$1006,J$6))</f>
        <v/>
      </c>
      <c r="K37" s="43">
        <f>IF($B37="","",SUMIFS(Transactions!$F$7:$F$1006,Transactions!$D$7:$D$1006,"Expense",Transactions!$E$7:$E$1006,$B37,Transactions!$I$7:$I$1006,K$6))</f>
        <v/>
      </c>
      <c r="L37" s="43">
        <f>IF($B37="","",SUMIFS(Transactions!$F$7:$F$1006,Transactions!$D$7:$D$1006,"Expense",Transactions!$E$7:$E$1006,$B37,Transactions!$I$7:$I$1006,L$6))</f>
        <v/>
      </c>
      <c r="M37" s="43">
        <f>IF($B37="","",SUMIFS(Transactions!$F$7:$F$1006,Transactions!$D$7:$D$1006,"Expense",Transactions!$E$7:$E$1006,$B37,Transactions!$I$7:$I$1006,M$6))</f>
        <v/>
      </c>
      <c r="N37" s="43">
        <f>IF($B37="","",SUMIFS(Transactions!$F$7:$F$1006,Transactions!$D$7:$D$1006,"Expense",Transactions!$E$7:$E$1006,$B37,Transactions!$I$7:$I$1006,N$6))</f>
        <v/>
      </c>
      <c r="O37" s="43">
        <f>IF($B37="","",SUM(C37:N37))</f>
        <v/>
      </c>
      <c r="P37" s="43">
        <f>IF($B37="","",IFERROR(O37/MAX(1,COUNTIF(C37:N37,"&gt;0")),0))</f>
        <v/>
      </c>
    </row>
    <row r="38">
      <c r="B38" s="46">
        <f>IF(Settings!B25="","",Settings!B25)</f>
        <v/>
      </c>
      <c r="C38" s="43">
        <f>IF($B38="","",SUMIFS(Transactions!$F$7:$F$1006,Transactions!$D$7:$D$1006,"Expense",Transactions!$E$7:$E$1006,$B38,Transactions!$I$7:$I$1006,C$6))</f>
        <v/>
      </c>
      <c r="D38" s="43">
        <f>IF($B38="","",SUMIFS(Transactions!$F$7:$F$1006,Transactions!$D$7:$D$1006,"Expense",Transactions!$E$7:$E$1006,$B38,Transactions!$I$7:$I$1006,D$6))</f>
        <v/>
      </c>
      <c r="E38" s="43">
        <f>IF($B38="","",SUMIFS(Transactions!$F$7:$F$1006,Transactions!$D$7:$D$1006,"Expense",Transactions!$E$7:$E$1006,$B38,Transactions!$I$7:$I$1006,E$6))</f>
        <v/>
      </c>
      <c r="F38" s="43">
        <f>IF($B38="","",SUMIFS(Transactions!$F$7:$F$1006,Transactions!$D$7:$D$1006,"Expense",Transactions!$E$7:$E$1006,$B38,Transactions!$I$7:$I$1006,F$6))</f>
        <v/>
      </c>
      <c r="G38" s="43">
        <f>IF($B38="","",SUMIFS(Transactions!$F$7:$F$1006,Transactions!$D$7:$D$1006,"Expense",Transactions!$E$7:$E$1006,$B38,Transactions!$I$7:$I$1006,G$6))</f>
        <v/>
      </c>
      <c r="H38" s="43">
        <f>IF($B38="","",SUMIFS(Transactions!$F$7:$F$1006,Transactions!$D$7:$D$1006,"Expense",Transactions!$E$7:$E$1006,$B38,Transactions!$I$7:$I$1006,H$6))</f>
        <v/>
      </c>
      <c r="I38" s="43">
        <f>IF($B38="","",SUMIFS(Transactions!$F$7:$F$1006,Transactions!$D$7:$D$1006,"Expense",Transactions!$E$7:$E$1006,$B38,Transactions!$I$7:$I$1006,I$6))</f>
        <v/>
      </c>
      <c r="J38" s="43">
        <f>IF($B38="","",SUMIFS(Transactions!$F$7:$F$1006,Transactions!$D$7:$D$1006,"Expense",Transactions!$E$7:$E$1006,$B38,Transactions!$I$7:$I$1006,J$6))</f>
        <v/>
      </c>
      <c r="K38" s="43">
        <f>IF($B38="","",SUMIFS(Transactions!$F$7:$F$1006,Transactions!$D$7:$D$1006,"Expense",Transactions!$E$7:$E$1006,$B38,Transactions!$I$7:$I$1006,K$6))</f>
        <v/>
      </c>
      <c r="L38" s="43">
        <f>IF($B38="","",SUMIFS(Transactions!$F$7:$F$1006,Transactions!$D$7:$D$1006,"Expense",Transactions!$E$7:$E$1006,$B38,Transactions!$I$7:$I$1006,L$6))</f>
        <v/>
      </c>
      <c r="M38" s="43">
        <f>IF($B38="","",SUMIFS(Transactions!$F$7:$F$1006,Transactions!$D$7:$D$1006,"Expense",Transactions!$E$7:$E$1006,$B38,Transactions!$I$7:$I$1006,M$6))</f>
        <v/>
      </c>
      <c r="N38" s="43">
        <f>IF($B38="","",SUMIFS(Transactions!$F$7:$F$1006,Transactions!$D$7:$D$1006,"Expense",Transactions!$E$7:$E$1006,$B38,Transactions!$I$7:$I$1006,N$6))</f>
        <v/>
      </c>
      <c r="O38" s="43">
        <f>IF($B38="","",SUM(C38:N38))</f>
        <v/>
      </c>
      <c r="P38" s="43">
        <f>IF($B38="","",IFERROR(O38/MAX(1,COUNTIF(C38:N38,"&gt;0")),0))</f>
        <v/>
      </c>
    </row>
    <row r="39">
      <c r="B39" s="46">
        <f>IF(Settings!B26="","",Settings!B26)</f>
        <v/>
      </c>
      <c r="C39" s="43">
        <f>IF($B39="","",SUMIFS(Transactions!$F$7:$F$1006,Transactions!$D$7:$D$1006,"Expense",Transactions!$E$7:$E$1006,$B39,Transactions!$I$7:$I$1006,C$6))</f>
        <v/>
      </c>
      <c r="D39" s="43">
        <f>IF($B39="","",SUMIFS(Transactions!$F$7:$F$1006,Transactions!$D$7:$D$1006,"Expense",Transactions!$E$7:$E$1006,$B39,Transactions!$I$7:$I$1006,D$6))</f>
        <v/>
      </c>
      <c r="E39" s="43">
        <f>IF($B39="","",SUMIFS(Transactions!$F$7:$F$1006,Transactions!$D$7:$D$1006,"Expense",Transactions!$E$7:$E$1006,$B39,Transactions!$I$7:$I$1006,E$6))</f>
        <v/>
      </c>
      <c r="F39" s="43">
        <f>IF($B39="","",SUMIFS(Transactions!$F$7:$F$1006,Transactions!$D$7:$D$1006,"Expense",Transactions!$E$7:$E$1006,$B39,Transactions!$I$7:$I$1006,F$6))</f>
        <v/>
      </c>
      <c r="G39" s="43">
        <f>IF($B39="","",SUMIFS(Transactions!$F$7:$F$1006,Transactions!$D$7:$D$1006,"Expense",Transactions!$E$7:$E$1006,$B39,Transactions!$I$7:$I$1006,G$6))</f>
        <v/>
      </c>
      <c r="H39" s="43">
        <f>IF($B39="","",SUMIFS(Transactions!$F$7:$F$1006,Transactions!$D$7:$D$1006,"Expense",Transactions!$E$7:$E$1006,$B39,Transactions!$I$7:$I$1006,H$6))</f>
        <v/>
      </c>
      <c r="I39" s="43">
        <f>IF($B39="","",SUMIFS(Transactions!$F$7:$F$1006,Transactions!$D$7:$D$1006,"Expense",Transactions!$E$7:$E$1006,$B39,Transactions!$I$7:$I$1006,I$6))</f>
        <v/>
      </c>
      <c r="J39" s="43">
        <f>IF($B39="","",SUMIFS(Transactions!$F$7:$F$1006,Transactions!$D$7:$D$1006,"Expense",Transactions!$E$7:$E$1006,$B39,Transactions!$I$7:$I$1006,J$6))</f>
        <v/>
      </c>
      <c r="K39" s="43">
        <f>IF($B39="","",SUMIFS(Transactions!$F$7:$F$1006,Transactions!$D$7:$D$1006,"Expense",Transactions!$E$7:$E$1006,$B39,Transactions!$I$7:$I$1006,K$6))</f>
        <v/>
      </c>
      <c r="L39" s="43">
        <f>IF($B39="","",SUMIFS(Transactions!$F$7:$F$1006,Transactions!$D$7:$D$1006,"Expense",Transactions!$E$7:$E$1006,$B39,Transactions!$I$7:$I$1006,L$6))</f>
        <v/>
      </c>
      <c r="M39" s="43">
        <f>IF($B39="","",SUMIFS(Transactions!$F$7:$F$1006,Transactions!$D$7:$D$1006,"Expense",Transactions!$E$7:$E$1006,$B39,Transactions!$I$7:$I$1006,M$6))</f>
        <v/>
      </c>
      <c r="N39" s="43">
        <f>IF($B39="","",SUMIFS(Transactions!$F$7:$F$1006,Transactions!$D$7:$D$1006,"Expense",Transactions!$E$7:$E$1006,$B39,Transactions!$I$7:$I$1006,N$6))</f>
        <v/>
      </c>
      <c r="O39" s="43">
        <f>IF($B39="","",SUM(C39:N39))</f>
        <v/>
      </c>
      <c r="P39" s="43">
        <f>IF($B39="","",IFERROR(O39/MAX(1,COUNTIF(C39:N39,"&gt;0")),0))</f>
        <v/>
      </c>
    </row>
    <row r="40">
      <c r="B40" s="46">
        <f>IF(Settings!B27="","",Settings!B27)</f>
        <v/>
      </c>
      <c r="C40" s="43">
        <f>IF($B40="","",SUMIFS(Transactions!$F$7:$F$1006,Transactions!$D$7:$D$1006,"Expense",Transactions!$E$7:$E$1006,$B40,Transactions!$I$7:$I$1006,C$6))</f>
        <v/>
      </c>
      <c r="D40" s="43">
        <f>IF($B40="","",SUMIFS(Transactions!$F$7:$F$1006,Transactions!$D$7:$D$1006,"Expense",Transactions!$E$7:$E$1006,$B40,Transactions!$I$7:$I$1006,D$6))</f>
        <v/>
      </c>
      <c r="E40" s="43">
        <f>IF($B40="","",SUMIFS(Transactions!$F$7:$F$1006,Transactions!$D$7:$D$1006,"Expense",Transactions!$E$7:$E$1006,$B40,Transactions!$I$7:$I$1006,E$6))</f>
        <v/>
      </c>
      <c r="F40" s="43">
        <f>IF($B40="","",SUMIFS(Transactions!$F$7:$F$1006,Transactions!$D$7:$D$1006,"Expense",Transactions!$E$7:$E$1006,$B40,Transactions!$I$7:$I$1006,F$6))</f>
        <v/>
      </c>
      <c r="G40" s="43">
        <f>IF($B40="","",SUMIFS(Transactions!$F$7:$F$1006,Transactions!$D$7:$D$1006,"Expense",Transactions!$E$7:$E$1006,$B40,Transactions!$I$7:$I$1006,G$6))</f>
        <v/>
      </c>
      <c r="H40" s="43">
        <f>IF($B40="","",SUMIFS(Transactions!$F$7:$F$1006,Transactions!$D$7:$D$1006,"Expense",Transactions!$E$7:$E$1006,$B40,Transactions!$I$7:$I$1006,H$6))</f>
        <v/>
      </c>
      <c r="I40" s="43">
        <f>IF($B40="","",SUMIFS(Transactions!$F$7:$F$1006,Transactions!$D$7:$D$1006,"Expense",Transactions!$E$7:$E$1006,$B40,Transactions!$I$7:$I$1006,I$6))</f>
        <v/>
      </c>
      <c r="J40" s="43">
        <f>IF($B40="","",SUMIFS(Transactions!$F$7:$F$1006,Transactions!$D$7:$D$1006,"Expense",Transactions!$E$7:$E$1006,$B40,Transactions!$I$7:$I$1006,J$6))</f>
        <v/>
      </c>
      <c r="K40" s="43">
        <f>IF($B40="","",SUMIFS(Transactions!$F$7:$F$1006,Transactions!$D$7:$D$1006,"Expense",Transactions!$E$7:$E$1006,$B40,Transactions!$I$7:$I$1006,K$6))</f>
        <v/>
      </c>
      <c r="L40" s="43">
        <f>IF($B40="","",SUMIFS(Transactions!$F$7:$F$1006,Transactions!$D$7:$D$1006,"Expense",Transactions!$E$7:$E$1006,$B40,Transactions!$I$7:$I$1006,L$6))</f>
        <v/>
      </c>
      <c r="M40" s="43">
        <f>IF($B40="","",SUMIFS(Transactions!$F$7:$F$1006,Transactions!$D$7:$D$1006,"Expense",Transactions!$E$7:$E$1006,$B40,Transactions!$I$7:$I$1006,M$6))</f>
        <v/>
      </c>
      <c r="N40" s="43">
        <f>IF($B40="","",SUMIFS(Transactions!$F$7:$F$1006,Transactions!$D$7:$D$1006,"Expense",Transactions!$E$7:$E$1006,$B40,Transactions!$I$7:$I$1006,N$6))</f>
        <v/>
      </c>
      <c r="O40" s="43">
        <f>IF($B40="","",SUM(C40:N40))</f>
        <v/>
      </c>
      <c r="P40" s="43">
        <f>IF($B40="","",IFERROR(O40/MAX(1,COUNTIF(C40:N40,"&gt;0")),0))</f>
        <v/>
      </c>
    </row>
    <row r="41">
      <c r="B41" s="46">
        <f>IF(Settings!B28="","",Settings!B28)</f>
        <v/>
      </c>
      <c r="C41" s="43">
        <f>IF($B41="","",SUMIFS(Transactions!$F$7:$F$1006,Transactions!$D$7:$D$1006,"Expense",Transactions!$E$7:$E$1006,$B41,Transactions!$I$7:$I$1006,C$6))</f>
        <v/>
      </c>
      <c r="D41" s="43">
        <f>IF($B41="","",SUMIFS(Transactions!$F$7:$F$1006,Transactions!$D$7:$D$1006,"Expense",Transactions!$E$7:$E$1006,$B41,Transactions!$I$7:$I$1006,D$6))</f>
        <v/>
      </c>
      <c r="E41" s="43">
        <f>IF($B41="","",SUMIFS(Transactions!$F$7:$F$1006,Transactions!$D$7:$D$1006,"Expense",Transactions!$E$7:$E$1006,$B41,Transactions!$I$7:$I$1006,E$6))</f>
        <v/>
      </c>
      <c r="F41" s="43">
        <f>IF($B41="","",SUMIFS(Transactions!$F$7:$F$1006,Transactions!$D$7:$D$1006,"Expense",Transactions!$E$7:$E$1006,$B41,Transactions!$I$7:$I$1006,F$6))</f>
        <v/>
      </c>
      <c r="G41" s="43">
        <f>IF($B41="","",SUMIFS(Transactions!$F$7:$F$1006,Transactions!$D$7:$D$1006,"Expense",Transactions!$E$7:$E$1006,$B41,Transactions!$I$7:$I$1006,G$6))</f>
        <v/>
      </c>
      <c r="H41" s="43">
        <f>IF($B41="","",SUMIFS(Transactions!$F$7:$F$1006,Transactions!$D$7:$D$1006,"Expense",Transactions!$E$7:$E$1006,$B41,Transactions!$I$7:$I$1006,H$6))</f>
        <v/>
      </c>
      <c r="I41" s="43">
        <f>IF($B41="","",SUMIFS(Transactions!$F$7:$F$1006,Transactions!$D$7:$D$1006,"Expense",Transactions!$E$7:$E$1006,$B41,Transactions!$I$7:$I$1006,I$6))</f>
        <v/>
      </c>
      <c r="J41" s="43">
        <f>IF($B41="","",SUMIFS(Transactions!$F$7:$F$1006,Transactions!$D$7:$D$1006,"Expense",Transactions!$E$7:$E$1006,$B41,Transactions!$I$7:$I$1006,J$6))</f>
        <v/>
      </c>
      <c r="K41" s="43">
        <f>IF($B41="","",SUMIFS(Transactions!$F$7:$F$1006,Transactions!$D$7:$D$1006,"Expense",Transactions!$E$7:$E$1006,$B41,Transactions!$I$7:$I$1006,K$6))</f>
        <v/>
      </c>
      <c r="L41" s="43">
        <f>IF($B41="","",SUMIFS(Transactions!$F$7:$F$1006,Transactions!$D$7:$D$1006,"Expense",Transactions!$E$7:$E$1006,$B41,Transactions!$I$7:$I$1006,L$6))</f>
        <v/>
      </c>
      <c r="M41" s="43">
        <f>IF($B41="","",SUMIFS(Transactions!$F$7:$F$1006,Transactions!$D$7:$D$1006,"Expense",Transactions!$E$7:$E$1006,$B41,Transactions!$I$7:$I$1006,M$6))</f>
        <v/>
      </c>
      <c r="N41" s="43">
        <f>IF($B41="","",SUMIFS(Transactions!$F$7:$F$1006,Transactions!$D$7:$D$1006,"Expense",Transactions!$E$7:$E$1006,$B41,Transactions!$I$7:$I$1006,N$6))</f>
        <v/>
      </c>
      <c r="O41" s="43">
        <f>IF($B41="","",SUM(C41:N41))</f>
        <v/>
      </c>
      <c r="P41" s="43">
        <f>IF($B41="","",IFERROR(O41/MAX(1,COUNTIF(C41:N41,"&gt;0")),0))</f>
        <v/>
      </c>
    </row>
    <row r="42">
      <c r="B42" s="46">
        <f>IF(Settings!B29="","",Settings!B29)</f>
        <v/>
      </c>
      <c r="C42" s="43">
        <f>IF($B42="","",SUMIFS(Transactions!$F$7:$F$1006,Transactions!$D$7:$D$1006,"Expense",Transactions!$E$7:$E$1006,$B42,Transactions!$I$7:$I$1006,C$6))</f>
        <v/>
      </c>
      <c r="D42" s="43">
        <f>IF($B42="","",SUMIFS(Transactions!$F$7:$F$1006,Transactions!$D$7:$D$1006,"Expense",Transactions!$E$7:$E$1006,$B42,Transactions!$I$7:$I$1006,D$6))</f>
        <v/>
      </c>
      <c r="E42" s="43">
        <f>IF($B42="","",SUMIFS(Transactions!$F$7:$F$1006,Transactions!$D$7:$D$1006,"Expense",Transactions!$E$7:$E$1006,$B42,Transactions!$I$7:$I$1006,E$6))</f>
        <v/>
      </c>
      <c r="F42" s="43">
        <f>IF($B42="","",SUMIFS(Transactions!$F$7:$F$1006,Transactions!$D$7:$D$1006,"Expense",Transactions!$E$7:$E$1006,$B42,Transactions!$I$7:$I$1006,F$6))</f>
        <v/>
      </c>
      <c r="G42" s="43">
        <f>IF($B42="","",SUMIFS(Transactions!$F$7:$F$1006,Transactions!$D$7:$D$1006,"Expense",Transactions!$E$7:$E$1006,$B42,Transactions!$I$7:$I$1006,G$6))</f>
        <v/>
      </c>
      <c r="H42" s="43">
        <f>IF($B42="","",SUMIFS(Transactions!$F$7:$F$1006,Transactions!$D$7:$D$1006,"Expense",Transactions!$E$7:$E$1006,$B42,Transactions!$I$7:$I$1006,H$6))</f>
        <v/>
      </c>
      <c r="I42" s="43">
        <f>IF($B42="","",SUMIFS(Transactions!$F$7:$F$1006,Transactions!$D$7:$D$1006,"Expense",Transactions!$E$7:$E$1006,$B42,Transactions!$I$7:$I$1006,I$6))</f>
        <v/>
      </c>
      <c r="J42" s="43">
        <f>IF($B42="","",SUMIFS(Transactions!$F$7:$F$1006,Transactions!$D$7:$D$1006,"Expense",Transactions!$E$7:$E$1006,$B42,Transactions!$I$7:$I$1006,J$6))</f>
        <v/>
      </c>
      <c r="K42" s="43">
        <f>IF($B42="","",SUMIFS(Transactions!$F$7:$F$1006,Transactions!$D$7:$D$1006,"Expense",Transactions!$E$7:$E$1006,$B42,Transactions!$I$7:$I$1006,K$6))</f>
        <v/>
      </c>
      <c r="L42" s="43">
        <f>IF($B42="","",SUMIFS(Transactions!$F$7:$F$1006,Transactions!$D$7:$D$1006,"Expense",Transactions!$E$7:$E$1006,$B42,Transactions!$I$7:$I$1006,L$6))</f>
        <v/>
      </c>
      <c r="M42" s="43">
        <f>IF($B42="","",SUMIFS(Transactions!$F$7:$F$1006,Transactions!$D$7:$D$1006,"Expense",Transactions!$E$7:$E$1006,$B42,Transactions!$I$7:$I$1006,M$6))</f>
        <v/>
      </c>
      <c r="N42" s="43">
        <f>IF($B42="","",SUMIFS(Transactions!$F$7:$F$1006,Transactions!$D$7:$D$1006,"Expense",Transactions!$E$7:$E$1006,$B42,Transactions!$I$7:$I$1006,N$6))</f>
        <v/>
      </c>
      <c r="O42" s="43">
        <f>IF($B42="","",SUM(C42:N42))</f>
        <v/>
      </c>
      <c r="P42" s="43">
        <f>IF($B42="","",IFERROR(O42/MAX(1,COUNTIF(C42:N42,"&gt;0")),0))</f>
        <v/>
      </c>
    </row>
    <row r="43">
      <c r="B43" s="46">
        <f>IF(Settings!B30="","",Settings!B30)</f>
        <v/>
      </c>
      <c r="C43" s="43">
        <f>IF($B43="","",SUMIFS(Transactions!$F$7:$F$1006,Transactions!$D$7:$D$1006,"Expense",Transactions!$E$7:$E$1006,$B43,Transactions!$I$7:$I$1006,C$6))</f>
        <v/>
      </c>
      <c r="D43" s="43">
        <f>IF($B43="","",SUMIFS(Transactions!$F$7:$F$1006,Transactions!$D$7:$D$1006,"Expense",Transactions!$E$7:$E$1006,$B43,Transactions!$I$7:$I$1006,D$6))</f>
        <v/>
      </c>
      <c r="E43" s="43">
        <f>IF($B43="","",SUMIFS(Transactions!$F$7:$F$1006,Transactions!$D$7:$D$1006,"Expense",Transactions!$E$7:$E$1006,$B43,Transactions!$I$7:$I$1006,E$6))</f>
        <v/>
      </c>
      <c r="F43" s="43">
        <f>IF($B43="","",SUMIFS(Transactions!$F$7:$F$1006,Transactions!$D$7:$D$1006,"Expense",Transactions!$E$7:$E$1006,$B43,Transactions!$I$7:$I$1006,F$6))</f>
        <v/>
      </c>
      <c r="G43" s="43">
        <f>IF($B43="","",SUMIFS(Transactions!$F$7:$F$1006,Transactions!$D$7:$D$1006,"Expense",Transactions!$E$7:$E$1006,$B43,Transactions!$I$7:$I$1006,G$6))</f>
        <v/>
      </c>
      <c r="H43" s="43">
        <f>IF($B43="","",SUMIFS(Transactions!$F$7:$F$1006,Transactions!$D$7:$D$1006,"Expense",Transactions!$E$7:$E$1006,$B43,Transactions!$I$7:$I$1006,H$6))</f>
        <v/>
      </c>
      <c r="I43" s="43">
        <f>IF($B43="","",SUMIFS(Transactions!$F$7:$F$1006,Transactions!$D$7:$D$1006,"Expense",Transactions!$E$7:$E$1006,$B43,Transactions!$I$7:$I$1006,I$6))</f>
        <v/>
      </c>
      <c r="J43" s="43">
        <f>IF($B43="","",SUMIFS(Transactions!$F$7:$F$1006,Transactions!$D$7:$D$1006,"Expense",Transactions!$E$7:$E$1006,$B43,Transactions!$I$7:$I$1006,J$6))</f>
        <v/>
      </c>
      <c r="K43" s="43">
        <f>IF($B43="","",SUMIFS(Transactions!$F$7:$F$1006,Transactions!$D$7:$D$1006,"Expense",Transactions!$E$7:$E$1006,$B43,Transactions!$I$7:$I$1006,K$6))</f>
        <v/>
      </c>
      <c r="L43" s="43">
        <f>IF($B43="","",SUMIFS(Transactions!$F$7:$F$1006,Transactions!$D$7:$D$1006,"Expense",Transactions!$E$7:$E$1006,$B43,Transactions!$I$7:$I$1006,L$6))</f>
        <v/>
      </c>
      <c r="M43" s="43">
        <f>IF($B43="","",SUMIFS(Transactions!$F$7:$F$1006,Transactions!$D$7:$D$1006,"Expense",Transactions!$E$7:$E$1006,$B43,Transactions!$I$7:$I$1006,M$6))</f>
        <v/>
      </c>
      <c r="N43" s="43">
        <f>IF($B43="","",SUMIFS(Transactions!$F$7:$F$1006,Transactions!$D$7:$D$1006,"Expense",Transactions!$E$7:$E$1006,$B43,Transactions!$I$7:$I$1006,N$6))</f>
        <v/>
      </c>
      <c r="O43" s="43">
        <f>IF($B43="","",SUM(C43:N43))</f>
        <v/>
      </c>
      <c r="P43" s="43">
        <f>IF($B43="","",IFERROR(O43/MAX(1,COUNTIF(C43:N43,"&gt;0")),0))</f>
        <v/>
      </c>
    </row>
    <row r="44">
      <c r="B44" s="46">
        <f>IF(Settings!B31="","",Settings!B31)</f>
        <v/>
      </c>
      <c r="C44" s="43">
        <f>IF($B44="","",SUMIFS(Transactions!$F$7:$F$1006,Transactions!$D$7:$D$1006,"Expense",Transactions!$E$7:$E$1006,$B44,Transactions!$I$7:$I$1006,C$6))</f>
        <v/>
      </c>
      <c r="D44" s="43">
        <f>IF($B44="","",SUMIFS(Transactions!$F$7:$F$1006,Transactions!$D$7:$D$1006,"Expense",Transactions!$E$7:$E$1006,$B44,Transactions!$I$7:$I$1006,D$6))</f>
        <v/>
      </c>
      <c r="E44" s="43">
        <f>IF($B44="","",SUMIFS(Transactions!$F$7:$F$1006,Transactions!$D$7:$D$1006,"Expense",Transactions!$E$7:$E$1006,$B44,Transactions!$I$7:$I$1006,E$6))</f>
        <v/>
      </c>
      <c r="F44" s="43">
        <f>IF($B44="","",SUMIFS(Transactions!$F$7:$F$1006,Transactions!$D$7:$D$1006,"Expense",Transactions!$E$7:$E$1006,$B44,Transactions!$I$7:$I$1006,F$6))</f>
        <v/>
      </c>
      <c r="G44" s="43">
        <f>IF($B44="","",SUMIFS(Transactions!$F$7:$F$1006,Transactions!$D$7:$D$1006,"Expense",Transactions!$E$7:$E$1006,$B44,Transactions!$I$7:$I$1006,G$6))</f>
        <v/>
      </c>
      <c r="H44" s="43">
        <f>IF($B44="","",SUMIFS(Transactions!$F$7:$F$1006,Transactions!$D$7:$D$1006,"Expense",Transactions!$E$7:$E$1006,$B44,Transactions!$I$7:$I$1006,H$6))</f>
        <v/>
      </c>
      <c r="I44" s="43">
        <f>IF($B44="","",SUMIFS(Transactions!$F$7:$F$1006,Transactions!$D$7:$D$1006,"Expense",Transactions!$E$7:$E$1006,$B44,Transactions!$I$7:$I$1006,I$6))</f>
        <v/>
      </c>
      <c r="J44" s="43">
        <f>IF($B44="","",SUMIFS(Transactions!$F$7:$F$1006,Transactions!$D$7:$D$1006,"Expense",Transactions!$E$7:$E$1006,$B44,Transactions!$I$7:$I$1006,J$6))</f>
        <v/>
      </c>
      <c r="K44" s="43">
        <f>IF($B44="","",SUMIFS(Transactions!$F$7:$F$1006,Transactions!$D$7:$D$1006,"Expense",Transactions!$E$7:$E$1006,$B44,Transactions!$I$7:$I$1006,K$6))</f>
        <v/>
      </c>
      <c r="L44" s="43">
        <f>IF($B44="","",SUMIFS(Transactions!$F$7:$F$1006,Transactions!$D$7:$D$1006,"Expense",Transactions!$E$7:$E$1006,$B44,Transactions!$I$7:$I$1006,L$6))</f>
        <v/>
      </c>
      <c r="M44" s="43">
        <f>IF($B44="","",SUMIFS(Transactions!$F$7:$F$1006,Transactions!$D$7:$D$1006,"Expense",Transactions!$E$7:$E$1006,$B44,Transactions!$I$7:$I$1006,M$6))</f>
        <v/>
      </c>
      <c r="N44" s="43">
        <f>IF($B44="","",SUMIFS(Transactions!$F$7:$F$1006,Transactions!$D$7:$D$1006,"Expense",Transactions!$E$7:$E$1006,$B44,Transactions!$I$7:$I$1006,N$6))</f>
        <v/>
      </c>
      <c r="O44" s="43">
        <f>IF($B44="","",SUM(C44:N44))</f>
        <v/>
      </c>
      <c r="P44" s="43">
        <f>IF($B44="","",IFERROR(O44/MAX(1,COUNTIF(C44:N44,"&gt;0")),0))</f>
        <v/>
      </c>
    </row>
    <row r="45">
      <c r="B45" s="46">
        <f>IF(Settings!B32="","",Settings!B32)</f>
        <v/>
      </c>
      <c r="C45" s="43">
        <f>IF($B45="","",SUMIFS(Transactions!$F$7:$F$1006,Transactions!$D$7:$D$1006,"Expense",Transactions!$E$7:$E$1006,$B45,Transactions!$I$7:$I$1006,C$6))</f>
        <v/>
      </c>
      <c r="D45" s="43">
        <f>IF($B45="","",SUMIFS(Transactions!$F$7:$F$1006,Transactions!$D$7:$D$1006,"Expense",Transactions!$E$7:$E$1006,$B45,Transactions!$I$7:$I$1006,D$6))</f>
        <v/>
      </c>
      <c r="E45" s="43">
        <f>IF($B45="","",SUMIFS(Transactions!$F$7:$F$1006,Transactions!$D$7:$D$1006,"Expense",Transactions!$E$7:$E$1006,$B45,Transactions!$I$7:$I$1006,E$6))</f>
        <v/>
      </c>
      <c r="F45" s="43">
        <f>IF($B45="","",SUMIFS(Transactions!$F$7:$F$1006,Transactions!$D$7:$D$1006,"Expense",Transactions!$E$7:$E$1006,$B45,Transactions!$I$7:$I$1006,F$6))</f>
        <v/>
      </c>
      <c r="G45" s="43">
        <f>IF($B45="","",SUMIFS(Transactions!$F$7:$F$1006,Transactions!$D$7:$D$1006,"Expense",Transactions!$E$7:$E$1006,$B45,Transactions!$I$7:$I$1006,G$6))</f>
        <v/>
      </c>
      <c r="H45" s="43">
        <f>IF($B45="","",SUMIFS(Transactions!$F$7:$F$1006,Transactions!$D$7:$D$1006,"Expense",Transactions!$E$7:$E$1006,$B45,Transactions!$I$7:$I$1006,H$6))</f>
        <v/>
      </c>
      <c r="I45" s="43">
        <f>IF($B45="","",SUMIFS(Transactions!$F$7:$F$1006,Transactions!$D$7:$D$1006,"Expense",Transactions!$E$7:$E$1006,$B45,Transactions!$I$7:$I$1006,I$6))</f>
        <v/>
      </c>
      <c r="J45" s="43">
        <f>IF($B45="","",SUMIFS(Transactions!$F$7:$F$1006,Transactions!$D$7:$D$1006,"Expense",Transactions!$E$7:$E$1006,$B45,Transactions!$I$7:$I$1006,J$6))</f>
        <v/>
      </c>
      <c r="K45" s="43">
        <f>IF($B45="","",SUMIFS(Transactions!$F$7:$F$1006,Transactions!$D$7:$D$1006,"Expense",Transactions!$E$7:$E$1006,$B45,Transactions!$I$7:$I$1006,K$6))</f>
        <v/>
      </c>
      <c r="L45" s="43">
        <f>IF($B45="","",SUMIFS(Transactions!$F$7:$F$1006,Transactions!$D$7:$D$1006,"Expense",Transactions!$E$7:$E$1006,$B45,Transactions!$I$7:$I$1006,L$6))</f>
        <v/>
      </c>
      <c r="M45" s="43">
        <f>IF($B45="","",SUMIFS(Transactions!$F$7:$F$1006,Transactions!$D$7:$D$1006,"Expense",Transactions!$E$7:$E$1006,$B45,Transactions!$I$7:$I$1006,M$6))</f>
        <v/>
      </c>
      <c r="N45" s="43">
        <f>IF($B45="","",SUMIFS(Transactions!$F$7:$F$1006,Transactions!$D$7:$D$1006,"Expense",Transactions!$E$7:$E$1006,$B45,Transactions!$I$7:$I$1006,N$6))</f>
        <v/>
      </c>
      <c r="O45" s="43">
        <f>IF($B45="","",SUM(C45:N45))</f>
        <v/>
      </c>
      <c r="P45" s="43">
        <f>IF($B45="","",IFERROR(O45/MAX(1,COUNTIF(C45:N45,"&gt;0")),0))</f>
        <v/>
      </c>
    </row>
    <row r="46">
      <c r="B46" s="46">
        <f>IF(Settings!B33="","",Settings!B33)</f>
        <v/>
      </c>
      <c r="C46" s="43">
        <f>IF($B46="","",SUMIFS(Transactions!$F$7:$F$1006,Transactions!$D$7:$D$1006,"Expense",Transactions!$E$7:$E$1006,$B46,Transactions!$I$7:$I$1006,C$6))</f>
        <v/>
      </c>
      <c r="D46" s="43">
        <f>IF($B46="","",SUMIFS(Transactions!$F$7:$F$1006,Transactions!$D$7:$D$1006,"Expense",Transactions!$E$7:$E$1006,$B46,Transactions!$I$7:$I$1006,D$6))</f>
        <v/>
      </c>
      <c r="E46" s="43">
        <f>IF($B46="","",SUMIFS(Transactions!$F$7:$F$1006,Transactions!$D$7:$D$1006,"Expense",Transactions!$E$7:$E$1006,$B46,Transactions!$I$7:$I$1006,E$6))</f>
        <v/>
      </c>
      <c r="F46" s="43">
        <f>IF($B46="","",SUMIFS(Transactions!$F$7:$F$1006,Transactions!$D$7:$D$1006,"Expense",Transactions!$E$7:$E$1006,$B46,Transactions!$I$7:$I$1006,F$6))</f>
        <v/>
      </c>
      <c r="G46" s="43">
        <f>IF($B46="","",SUMIFS(Transactions!$F$7:$F$1006,Transactions!$D$7:$D$1006,"Expense",Transactions!$E$7:$E$1006,$B46,Transactions!$I$7:$I$1006,G$6))</f>
        <v/>
      </c>
      <c r="H46" s="43">
        <f>IF($B46="","",SUMIFS(Transactions!$F$7:$F$1006,Transactions!$D$7:$D$1006,"Expense",Transactions!$E$7:$E$1006,$B46,Transactions!$I$7:$I$1006,H$6))</f>
        <v/>
      </c>
      <c r="I46" s="43">
        <f>IF($B46="","",SUMIFS(Transactions!$F$7:$F$1006,Transactions!$D$7:$D$1006,"Expense",Transactions!$E$7:$E$1006,$B46,Transactions!$I$7:$I$1006,I$6))</f>
        <v/>
      </c>
      <c r="J46" s="43">
        <f>IF($B46="","",SUMIFS(Transactions!$F$7:$F$1006,Transactions!$D$7:$D$1006,"Expense",Transactions!$E$7:$E$1006,$B46,Transactions!$I$7:$I$1006,J$6))</f>
        <v/>
      </c>
      <c r="K46" s="43">
        <f>IF($B46="","",SUMIFS(Transactions!$F$7:$F$1006,Transactions!$D$7:$D$1006,"Expense",Transactions!$E$7:$E$1006,$B46,Transactions!$I$7:$I$1006,K$6))</f>
        <v/>
      </c>
      <c r="L46" s="43">
        <f>IF($B46="","",SUMIFS(Transactions!$F$7:$F$1006,Transactions!$D$7:$D$1006,"Expense",Transactions!$E$7:$E$1006,$B46,Transactions!$I$7:$I$1006,L$6))</f>
        <v/>
      </c>
      <c r="M46" s="43">
        <f>IF($B46="","",SUMIFS(Transactions!$F$7:$F$1006,Transactions!$D$7:$D$1006,"Expense",Transactions!$E$7:$E$1006,$B46,Transactions!$I$7:$I$1006,M$6))</f>
        <v/>
      </c>
      <c r="N46" s="43">
        <f>IF($B46="","",SUMIFS(Transactions!$F$7:$F$1006,Transactions!$D$7:$D$1006,"Expense",Transactions!$E$7:$E$1006,$B46,Transactions!$I$7:$I$1006,N$6))</f>
        <v/>
      </c>
      <c r="O46" s="43">
        <f>IF($B46="","",SUM(C46:N46))</f>
        <v/>
      </c>
      <c r="P46" s="43">
        <f>IF($B46="","",IFERROR(O46/MAX(1,COUNTIF(C46:N46,"&gt;0")),0))</f>
        <v/>
      </c>
    </row>
    <row r="47">
      <c r="B47" s="46">
        <f>IF(Settings!B34="","",Settings!B34)</f>
        <v/>
      </c>
      <c r="C47" s="43">
        <f>IF($B47="","",SUMIFS(Transactions!$F$7:$F$1006,Transactions!$D$7:$D$1006,"Expense",Transactions!$E$7:$E$1006,$B47,Transactions!$I$7:$I$1006,C$6))</f>
        <v/>
      </c>
      <c r="D47" s="43">
        <f>IF($B47="","",SUMIFS(Transactions!$F$7:$F$1006,Transactions!$D$7:$D$1006,"Expense",Transactions!$E$7:$E$1006,$B47,Transactions!$I$7:$I$1006,D$6))</f>
        <v/>
      </c>
      <c r="E47" s="43">
        <f>IF($B47="","",SUMIFS(Transactions!$F$7:$F$1006,Transactions!$D$7:$D$1006,"Expense",Transactions!$E$7:$E$1006,$B47,Transactions!$I$7:$I$1006,E$6))</f>
        <v/>
      </c>
      <c r="F47" s="43">
        <f>IF($B47="","",SUMIFS(Transactions!$F$7:$F$1006,Transactions!$D$7:$D$1006,"Expense",Transactions!$E$7:$E$1006,$B47,Transactions!$I$7:$I$1006,F$6))</f>
        <v/>
      </c>
      <c r="G47" s="43">
        <f>IF($B47="","",SUMIFS(Transactions!$F$7:$F$1006,Transactions!$D$7:$D$1006,"Expense",Transactions!$E$7:$E$1006,$B47,Transactions!$I$7:$I$1006,G$6))</f>
        <v/>
      </c>
      <c r="H47" s="43">
        <f>IF($B47="","",SUMIFS(Transactions!$F$7:$F$1006,Transactions!$D$7:$D$1006,"Expense",Transactions!$E$7:$E$1006,$B47,Transactions!$I$7:$I$1006,H$6))</f>
        <v/>
      </c>
      <c r="I47" s="43">
        <f>IF($B47="","",SUMIFS(Transactions!$F$7:$F$1006,Transactions!$D$7:$D$1006,"Expense",Transactions!$E$7:$E$1006,$B47,Transactions!$I$7:$I$1006,I$6))</f>
        <v/>
      </c>
      <c r="J47" s="43">
        <f>IF($B47="","",SUMIFS(Transactions!$F$7:$F$1006,Transactions!$D$7:$D$1006,"Expense",Transactions!$E$7:$E$1006,$B47,Transactions!$I$7:$I$1006,J$6))</f>
        <v/>
      </c>
      <c r="K47" s="43">
        <f>IF($B47="","",SUMIFS(Transactions!$F$7:$F$1006,Transactions!$D$7:$D$1006,"Expense",Transactions!$E$7:$E$1006,$B47,Transactions!$I$7:$I$1006,K$6))</f>
        <v/>
      </c>
      <c r="L47" s="43">
        <f>IF($B47="","",SUMIFS(Transactions!$F$7:$F$1006,Transactions!$D$7:$D$1006,"Expense",Transactions!$E$7:$E$1006,$B47,Transactions!$I$7:$I$1006,L$6))</f>
        <v/>
      </c>
      <c r="M47" s="43">
        <f>IF($B47="","",SUMIFS(Transactions!$F$7:$F$1006,Transactions!$D$7:$D$1006,"Expense",Transactions!$E$7:$E$1006,$B47,Transactions!$I$7:$I$1006,M$6))</f>
        <v/>
      </c>
      <c r="N47" s="43">
        <f>IF($B47="","",SUMIFS(Transactions!$F$7:$F$1006,Transactions!$D$7:$D$1006,"Expense",Transactions!$E$7:$E$1006,$B47,Transactions!$I$7:$I$1006,N$6))</f>
        <v/>
      </c>
      <c r="O47" s="43">
        <f>IF($B47="","",SUM(C47:N47))</f>
        <v/>
      </c>
      <c r="P47" s="43">
        <f>IF($B47="","",IFERROR(O47/MAX(1,COUNTIF(C47:N47,"&gt;0")),0))</f>
        <v/>
      </c>
    </row>
    <row r="48">
      <c r="B48" s="46">
        <f>IF(Settings!B35="","",Settings!B35)</f>
        <v/>
      </c>
      <c r="C48" s="43">
        <f>IF($B48="","",SUMIFS(Transactions!$F$7:$F$1006,Transactions!$D$7:$D$1006,"Expense",Transactions!$E$7:$E$1006,$B48,Transactions!$I$7:$I$1006,C$6))</f>
        <v/>
      </c>
      <c r="D48" s="43">
        <f>IF($B48="","",SUMIFS(Transactions!$F$7:$F$1006,Transactions!$D$7:$D$1006,"Expense",Transactions!$E$7:$E$1006,$B48,Transactions!$I$7:$I$1006,D$6))</f>
        <v/>
      </c>
      <c r="E48" s="43">
        <f>IF($B48="","",SUMIFS(Transactions!$F$7:$F$1006,Transactions!$D$7:$D$1006,"Expense",Transactions!$E$7:$E$1006,$B48,Transactions!$I$7:$I$1006,E$6))</f>
        <v/>
      </c>
      <c r="F48" s="43">
        <f>IF($B48="","",SUMIFS(Transactions!$F$7:$F$1006,Transactions!$D$7:$D$1006,"Expense",Transactions!$E$7:$E$1006,$B48,Transactions!$I$7:$I$1006,F$6))</f>
        <v/>
      </c>
      <c r="G48" s="43">
        <f>IF($B48="","",SUMIFS(Transactions!$F$7:$F$1006,Transactions!$D$7:$D$1006,"Expense",Transactions!$E$7:$E$1006,$B48,Transactions!$I$7:$I$1006,G$6))</f>
        <v/>
      </c>
      <c r="H48" s="43">
        <f>IF($B48="","",SUMIFS(Transactions!$F$7:$F$1006,Transactions!$D$7:$D$1006,"Expense",Transactions!$E$7:$E$1006,$B48,Transactions!$I$7:$I$1006,H$6))</f>
        <v/>
      </c>
      <c r="I48" s="43">
        <f>IF($B48="","",SUMIFS(Transactions!$F$7:$F$1006,Transactions!$D$7:$D$1006,"Expense",Transactions!$E$7:$E$1006,$B48,Transactions!$I$7:$I$1006,I$6))</f>
        <v/>
      </c>
      <c r="J48" s="43">
        <f>IF($B48="","",SUMIFS(Transactions!$F$7:$F$1006,Transactions!$D$7:$D$1006,"Expense",Transactions!$E$7:$E$1006,$B48,Transactions!$I$7:$I$1006,J$6))</f>
        <v/>
      </c>
      <c r="K48" s="43">
        <f>IF($B48="","",SUMIFS(Transactions!$F$7:$F$1006,Transactions!$D$7:$D$1006,"Expense",Transactions!$E$7:$E$1006,$B48,Transactions!$I$7:$I$1006,K$6))</f>
        <v/>
      </c>
      <c r="L48" s="43">
        <f>IF($B48="","",SUMIFS(Transactions!$F$7:$F$1006,Transactions!$D$7:$D$1006,"Expense",Transactions!$E$7:$E$1006,$B48,Transactions!$I$7:$I$1006,L$6))</f>
        <v/>
      </c>
      <c r="M48" s="43">
        <f>IF($B48="","",SUMIFS(Transactions!$F$7:$F$1006,Transactions!$D$7:$D$1006,"Expense",Transactions!$E$7:$E$1006,$B48,Transactions!$I$7:$I$1006,M$6))</f>
        <v/>
      </c>
      <c r="N48" s="43">
        <f>IF($B48="","",SUMIFS(Transactions!$F$7:$F$1006,Transactions!$D$7:$D$1006,"Expense",Transactions!$E$7:$E$1006,$B48,Transactions!$I$7:$I$1006,N$6))</f>
        <v/>
      </c>
      <c r="O48" s="43">
        <f>IF($B48="","",SUM(C48:N48))</f>
        <v/>
      </c>
      <c r="P48" s="43">
        <f>IF($B48="","",IFERROR(O48/MAX(1,COUNTIF(C48:N48,"&gt;0")),0))</f>
        <v/>
      </c>
    </row>
    <row r="49">
      <c r="B49" s="46">
        <f>IF(Settings!B36="","",Settings!B36)</f>
        <v/>
      </c>
      <c r="C49" s="43">
        <f>IF($B49="","",SUMIFS(Transactions!$F$7:$F$1006,Transactions!$D$7:$D$1006,"Expense",Transactions!$E$7:$E$1006,$B49,Transactions!$I$7:$I$1006,C$6))</f>
        <v/>
      </c>
      <c r="D49" s="43">
        <f>IF($B49="","",SUMIFS(Transactions!$F$7:$F$1006,Transactions!$D$7:$D$1006,"Expense",Transactions!$E$7:$E$1006,$B49,Transactions!$I$7:$I$1006,D$6))</f>
        <v/>
      </c>
      <c r="E49" s="43">
        <f>IF($B49="","",SUMIFS(Transactions!$F$7:$F$1006,Transactions!$D$7:$D$1006,"Expense",Transactions!$E$7:$E$1006,$B49,Transactions!$I$7:$I$1006,E$6))</f>
        <v/>
      </c>
      <c r="F49" s="43">
        <f>IF($B49="","",SUMIFS(Transactions!$F$7:$F$1006,Transactions!$D$7:$D$1006,"Expense",Transactions!$E$7:$E$1006,$B49,Transactions!$I$7:$I$1006,F$6))</f>
        <v/>
      </c>
      <c r="G49" s="43">
        <f>IF($B49="","",SUMIFS(Transactions!$F$7:$F$1006,Transactions!$D$7:$D$1006,"Expense",Transactions!$E$7:$E$1006,$B49,Transactions!$I$7:$I$1006,G$6))</f>
        <v/>
      </c>
      <c r="H49" s="43">
        <f>IF($B49="","",SUMIFS(Transactions!$F$7:$F$1006,Transactions!$D$7:$D$1006,"Expense",Transactions!$E$7:$E$1006,$B49,Transactions!$I$7:$I$1006,H$6))</f>
        <v/>
      </c>
      <c r="I49" s="43">
        <f>IF($B49="","",SUMIFS(Transactions!$F$7:$F$1006,Transactions!$D$7:$D$1006,"Expense",Transactions!$E$7:$E$1006,$B49,Transactions!$I$7:$I$1006,I$6))</f>
        <v/>
      </c>
      <c r="J49" s="43">
        <f>IF($B49="","",SUMIFS(Transactions!$F$7:$F$1006,Transactions!$D$7:$D$1006,"Expense",Transactions!$E$7:$E$1006,$B49,Transactions!$I$7:$I$1006,J$6))</f>
        <v/>
      </c>
      <c r="K49" s="43">
        <f>IF($B49="","",SUMIFS(Transactions!$F$7:$F$1006,Transactions!$D$7:$D$1006,"Expense",Transactions!$E$7:$E$1006,$B49,Transactions!$I$7:$I$1006,K$6))</f>
        <v/>
      </c>
      <c r="L49" s="43">
        <f>IF($B49="","",SUMIFS(Transactions!$F$7:$F$1006,Transactions!$D$7:$D$1006,"Expense",Transactions!$E$7:$E$1006,$B49,Transactions!$I$7:$I$1006,L$6))</f>
        <v/>
      </c>
      <c r="M49" s="43">
        <f>IF($B49="","",SUMIFS(Transactions!$F$7:$F$1006,Transactions!$D$7:$D$1006,"Expense",Transactions!$E$7:$E$1006,$B49,Transactions!$I$7:$I$1006,M$6))</f>
        <v/>
      </c>
      <c r="N49" s="43">
        <f>IF($B49="","",SUMIFS(Transactions!$F$7:$F$1006,Transactions!$D$7:$D$1006,"Expense",Transactions!$E$7:$E$1006,$B49,Transactions!$I$7:$I$1006,N$6))</f>
        <v/>
      </c>
      <c r="O49" s="43">
        <f>IF($B49="","",SUM(C49:N49))</f>
        <v/>
      </c>
      <c r="P49" s="43">
        <f>IF($B49="","",IFERROR(O49/MAX(1,COUNTIF(C49:N49,"&gt;0")),0))</f>
        <v/>
      </c>
    </row>
    <row r="50">
      <c r="B50" s="46">
        <f>IF(Settings!B37="","",Settings!B37)</f>
        <v/>
      </c>
      <c r="C50" s="43">
        <f>IF($B50="","",SUMIFS(Transactions!$F$7:$F$1006,Transactions!$D$7:$D$1006,"Expense",Transactions!$E$7:$E$1006,$B50,Transactions!$I$7:$I$1006,C$6))</f>
        <v/>
      </c>
      <c r="D50" s="43">
        <f>IF($B50="","",SUMIFS(Transactions!$F$7:$F$1006,Transactions!$D$7:$D$1006,"Expense",Transactions!$E$7:$E$1006,$B50,Transactions!$I$7:$I$1006,D$6))</f>
        <v/>
      </c>
      <c r="E50" s="43">
        <f>IF($B50="","",SUMIFS(Transactions!$F$7:$F$1006,Transactions!$D$7:$D$1006,"Expense",Transactions!$E$7:$E$1006,$B50,Transactions!$I$7:$I$1006,E$6))</f>
        <v/>
      </c>
      <c r="F50" s="43">
        <f>IF($B50="","",SUMIFS(Transactions!$F$7:$F$1006,Transactions!$D$7:$D$1006,"Expense",Transactions!$E$7:$E$1006,$B50,Transactions!$I$7:$I$1006,F$6))</f>
        <v/>
      </c>
      <c r="G50" s="43">
        <f>IF($B50="","",SUMIFS(Transactions!$F$7:$F$1006,Transactions!$D$7:$D$1006,"Expense",Transactions!$E$7:$E$1006,$B50,Transactions!$I$7:$I$1006,G$6))</f>
        <v/>
      </c>
      <c r="H50" s="43">
        <f>IF($B50="","",SUMIFS(Transactions!$F$7:$F$1006,Transactions!$D$7:$D$1006,"Expense",Transactions!$E$7:$E$1006,$B50,Transactions!$I$7:$I$1006,H$6))</f>
        <v/>
      </c>
      <c r="I50" s="43">
        <f>IF($B50="","",SUMIFS(Transactions!$F$7:$F$1006,Transactions!$D$7:$D$1006,"Expense",Transactions!$E$7:$E$1006,$B50,Transactions!$I$7:$I$1006,I$6))</f>
        <v/>
      </c>
      <c r="J50" s="43">
        <f>IF($B50="","",SUMIFS(Transactions!$F$7:$F$1006,Transactions!$D$7:$D$1006,"Expense",Transactions!$E$7:$E$1006,$B50,Transactions!$I$7:$I$1006,J$6))</f>
        <v/>
      </c>
      <c r="K50" s="43">
        <f>IF($B50="","",SUMIFS(Transactions!$F$7:$F$1006,Transactions!$D$7:$D$1006,"Expense",Transactions!$E$7:$E$1006,$B50,Transactions!$I$7:$I$1006,K$6))</f>
        <v/>
      </c>
      <c r="L50" s="43">
        <f>IF($B50="","",SUMIFS(Transactions!$F$7:$F$1006,Transactions!$D$7:$D$1006,"Expense",Transactions!$E$7:$E$1006,$B50,Transactions!$I$7:$I$1006,L$6))</f>
        <v/>
      </c>
      <c r="M50" s="43">
        <f>IF($B50="","",SUMIFS(Transactions!$F$7:$F$1006,Transactions!$D$7:$D$1006,"Expense",Transactions!$E$7:$E$1006,$B50,Transactions!$I$7:$I$1006,M$6))</f>
        <v/>
      </c>
      <c r="N50" s="43">
        <f>IF($B50="","",SUMIFS(Transactions!$F$7:$F$1006,Transactions!$D$7:$D$1006,"Expense",Transactions!$E$7:$E$1006,$B50,Transactions!$I$7:$I$1006,N$6))</f>
        <v/>
      </c>
      <c r="O50" s="43">
        <f>IF($B50="","",SUM(C50:N50))</f>
        <v/>
      </c>
      <c r="P50" s="43">
        <f>IF($B50="","",IFERROR(O50/MAX(1,COUNTIF(C50:N50,"&gt;0")),0))</f>
        <v/>
      </c>
    </row>
    <row r="51">
      <c r="B51" s="29" t="inlineStr">
        <is>
          <t>Total expenses</t>
        </is>
      </c>
      <c r="C51" s="23">
        <f>SUM(C21:C50)</f>
        <v/>
      </c>
      <c r="D51" s="23">
        <f>SUM(D21:D50)</f>
        <v/>
      </c>
      <c r="E51" s="23">
        <f>SUM(E21:E50)</f>
        <v/>
      </c>
      <c r="F51" s="23">
        <f>SUM(F21:F50)</f>
        <v/>
      </c>
      <c r="G51" s="23">
        <f>SUM(G21:G50)</f>
        <v/>
      </c>
      <c r="H51" s="23">
        <f>SUM(H21:H50)</f>
        <v/>
      </c>
      <c r="I51" s="23">
        <f>SUM(I21:I50)</f>
        <v/>
      </c>
      <c r="J51" s="23">
        <f>SUM(J21:J50)</f>
        <v/>
      </c>
      <c r="K51" s="23">
        <f>SUM(K21:K50)</f>
        <v/>
      </c>
      <c r="L51" s="23">
        <f>SUM(L21:L50)</f>
        <v/>
      </c>
      <c r="M51" s="23">
        <f>SUM(M21:M50)</f>
        <v/>
      </c>
      <c r="N51" s="23">
        <f>SUM(N21:N50)</f>
        <v/>
      </c>
      <c r="O51" s="23">
        <f>SUM(O21:O50)</f>
        <v/>
      </c>
      <c r="P51" s="23">
        <f>SUM(P21:P50)</f>
        <v/>
      </c>
    </row>
    <row r="52">
      <c r="B52" s="4" t="inlineStr">
        <is>
          <t>Left over</t>
        </is>
      </c>
      <c r="C52" s="44">
        <f>C18-C51</f>
        <v/>
      </c>
      <c r="D52" s="44">
        <f>D18-D51</f>
        <v/>
      </c>
      <c r="E52" s="44">
        <f>E18-E51</f>
        <v/>
      </c>
      <c r="F52" s="44">
        <f>F18-F51</f>
        <v/>
      </c>
      <c r="G52" s="44">
        <f>G18-G51</f>
        <v/>
      </c>
      <c r="H52" s="44">
        <f>H18-H51</f>
        <v/>
      </c>
      <c r="I52" s="44">
        <f>I18-I51</f>
        <v/>
      </c>
      <c r="J52" s="44">
        <f>J18-J51</f>
        <v/>
      </c>
      <c r="K52" s="44">
        <f>K18-K51</f>
        <v/>
      </c>
      <c r="L52" s="44">
        <f>L18-L51</f>
        <v/>
      </c>
      <c r="M52" s="44">
        <f>M18-M51</f>
        <v/>
      </c>
      <c r="N52" s="44">
        <f>N18-N51</f>
        <v/>
      </c>
      <c r="O52" s="44">
        <f>O18-O51</f>
        <v/>
      </c>
    </row>
    <row r="53">
      <c r="B53" s="27" t="inlineStr">
        <is>
          <t>Savings rate</t>
        </is>
      </c>
      <c r="C53" s="47">
        <f>IF(C18=0,0,C52/C18)</f>
        <v/>
      </c>
      <c r="D53" s="47">
        <f>IF(D18=0,0,D52/D18)</f>
        <v/>
      </c>
      <c r="E53" s="47">
        <f>IF(E18=0,0,E52/E18)</f>
        <v/>
      </c>
      <c r="F53" s="47">
        <f>IF(F18=0,0,F52/F18)</f>
        <v/>
      </c>
      <c r="G53" s="47">
        <f>IF(G18=0,0,G52/G18)</f>
        <v/>
      </c>
      <c r="H53" s="47">
        <f>IF(H18=0,0,H52/H18)</f>
        <v/>
      </c>
      <c r="I53" s="47">
        <f>IF(I18=0,0,I52/I18)</f>
        <v/>
      </c>
      <c r="J53" s="47">
        <f>IF(J18=0,0,J52/J18)</f>
        <v/>
      </c>
      <c r="K53" s="47">
        <f>IF(K18=0,0,K52/K18)</f>
        <v/>
      </c>
      <c r="L53" s="47">
        <f>IF(L18=0,0,L52/L18)</f>
        <v/>
      </c>
      <c r="M53" s="47">
        <f>IF(M18=0,0,M52/M18)</f>
        <v/>
      </c>
      <c r="N53" s="47">
        <f>IF(N18=0,0,N52/N18)</f>
        <v/>
      </c>
      <c r="O53" s="47">
        <f>IF(O18=0,0,O52/O18)</f>
        <v/>
      </c>
    </row>
  </sheetData>
  <conditionalFormatting sqref="C52:O52">
    <cfRule type="cellIs" priority="1" operator="lessThan" dxfId="2">
      <formula>0</formula>
    </cfRule>
  </conditionalFormatting>
  <conditionalFormatting sqref="C21:N50">
    <cfRule type="expression" priority="2" dxfId="4">
      <formula>C21&gt;0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3B23C"/>
    <outlinePr summaryBelow="1" summaryRight="1"/>
    <pageSetUpPr fitToPage="1"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1" customWidth="1" min="8" max="8"/>
    <col width="14" customWidth="1" min="9" max="9"/>
    <col width="12" customWidth="1" min="10" max="10"/>
  </cols>
  <sheetData>
    <row r="2">
      <c r="B2" s="7" t="inlineStr">
        <is>
          <t>Savings Goals &amp; Sinking Funds</t>
        </is>
      </c>
    </row>
    <row r="3">
      <c r="B3" s="10" t="inlineStr">
        <is>
          <t>One row per goal. Update 'Saved so far' whenever you move money. Progress and monthly need are automatic.</t>
        </is>
      </c>
    </row>
    <row r="5">
      <c r="B5" s="29" t="inlineStr">
        <is>
          <t>Today's date</t>
        </is>
      </c>
      <c r="C5" s="48">
        <f>TODAY()</f>
        <v/>
      </c>
    </row>
    <row r="7" ht="22" customHeight="1">
      <c r="B7" s="19" t="inlineStr">
        <is>
          <t>Goal</t>
        </is>
      </c>
      <c r="C7" s="19" t="inlineStr">
        <is>
          <t>Target amount</t>
        </is>
      </c>
      <c r="D7" s="19" t="inlineStr">
        <is>
          <t>Saved so far</t>
        </is>
      </c>
      <c r="E7" s="19" t="inlineStr">
        <is>
          <t>Remaining</t>
        </is>
      </c>
      <c r="F7" s="19" t="inlineStr">
        <is>
          <t>Progress</t>
        </is>
      </c>
      <c r="G7" s="19" t="inlineStr">
        <is>
          <t>Target date</t>
        </is>
      </c>
      <c r="H7" s="19" t="inlineStr">
        <is>
          <t>Months left</t>
        </is>
      </c>
      <c r="I7" s="19" t="inlineStr">
        <is>
          <t>Save per month</t>
        </is>
      </c>
      <c r="J7" s="19" t="inlineStr">
        <is>
          <t>Status</t>
        </is>
      </c>
    </row>
    <row r="8">
      <c r="B8" s="32" t="inlineStr">
        <is>
          <t>Emergency fund</t>
        </is>
      </c>
      <c r="C8" s="42" t="n">
        <v>6000</v>
      </c>
      <c r="D8" s="42" t="n">
        <v>2150</v>
      </c>
      <c r="E8" s="43">
        <f>IF(B8="","",MAX(0,C8-D8))</f>
        <v/>
      </c>
      <c r="F8" s="49">
        <f>IF(OR(B8="",C8=0),"",MIN(1,D8/C8))</f>
        <v/>
      </c>
      <c r="G8" s="35" t="n">
        <v>46568</v>
      </c>
      <c r="H8" s="46">
        <f>IF(OR(B8="",G8=""),"",MAX(0,(YEAR(G8)-YEAR($C$5))*12+MONTH(G8)-MONTH($C$5)))</f>
        <v/>
      </c>
      <c r="I8" s="43">
        <f>IF(OR(B8="",G8=""),"",IF(E8=0,0,IF(H8=0,E8,E8/H8)))</f>
        <v/>
      </c>
      <c r="J8" s="46">
        <f>IF(B8="","",IF(E8=0,"Done ✓",IF(G8="","No date",IF(H8=0,"Due now","On track"))))</f>
        <v/>
      </c>
    </row>
    <row r="9">
      <c r="B9" s="32" t="inlineStr">
        <is>
          <t>Vacation</t>
        </is>
      </c>
      <c r="C9" s="42" t="n">
        <v>1800</v>
      </c>
      <c r="D9" s="42" t="n">
        <v>400</v>
      </c>
      <c r="E9" s="43">
        <f>IF(B9="","",MAX(0,C9-D9))</f>
        <v/>
      </c>
      <c r="F9" s="49">
        <f>IF(OR(B9="",C9=0),"",MIN(1,D9/C9))</f>
        <v/>
      </c>
      <c r="G9" s="35" t="n">
        <v>46447</v>
      </c>
      <c r="H9" s="46">
        <f>IF(OR(B9="",G9=""),"",MAX(0,(YEAR(G9)-YEAR($C$5))*12+MONTH(G9)-MONTH($C$5)))</f>
        <v/>
      </c>
      <c r="I9" s="43">
        <f>IF(OR(B9="",G9=""),"",IF(E9=0,0,IF(H9=0,E9,E9/H9)))</f>
        <v/>
      </c>
      <c r="J9" s="46">
        <f>IF(B9="","",IF(E9=0,"Done ✓",IF(G9="","No date",IF(H9=0,"Due now","On track"))))</f>
        <v/>
      </c>
    </row>
    <row r="10">
      <c r="B10" s="32" t="inlineStr">
        <is>
          <t>New laptop</t>
        </is>
      </c>
      <c r="C10" s="42" t="n">
        <v>1400</v>
      </c>
      <c r="D10" s="42" t="n">
        <v>1400</v>
      </c>
      <c r="E10" s="43">
        <f>IF(B10="","",MAX(0,C10-D10))</f>
        <v/>
      </c>
      <c r="F10" s="49">
        <f>IF(OR(B10="",C10=0),"",MIN(1,D10/C10))</f>
        <v/>
      </c>
      <c r="G10" s="35" t="n">
        <v>46357</v>
      </c>
      <c r="H10" s="46">
        <f>IF(OR(B10="",G10=""),"",MAX(0,(YEAR(G10)-YEAR($C$5))*12+MONTH(G10)-MONTH($C$5)))</f>
        <v/>
      </c>
      <c r="I10" s="43">
        <f>IF(OR(B10="",G10=""),"",IF(E10=0,0,IF(H10=0,E10,E10/H10)))</f>
        <v/>
      </c>
      <c r="J10" s="46">
        <f>IF(B10="","",IF(E10=0,"Done ✓",IF(G10="","No date",IF(H10=0,"Due now","On track"))))</f>
        <v/>
      </c>
    </row>
    <row r="11">
      <c r="B11" s="32" t="inlineStr">
        <is>
          <t>Car repairs fund</t>
        </is>
      </c>
      <c r="C11" s="42" t="n">
        <v>1000</v>
      </c>
      <c r="D11" s="42" t="n">
        <v>250</v>
      </c>
      <c r="E11" s="43">
        <f>IF(B11="","",MAX(0,C11-D11))</f>
        <v/>
      </c>
      <c r="F11" s="49">
        <f>IF(OR(B11="",C11=0),"",MIN(1,D11/C11))</f>
        <v/>
      </c>
      <c r="G11" s="35" t="n">
        <v>46418</v>
      </c>
      <c r="H11" s="46">
        <f>IF(OR(B11="",G11=""),"",MAX(0,(YEAR(G11)-YEAR($C$5))*12+MONTH(G11)-MONTH($C$5)))</f>
        <v/>
      </c>
      <c r="I11" s="43">
        <f>IF(OR(B11="",G11=""),"",IF(E11=0,0,IF(H11=0,E11,E11/H11)))</f>
        <v/>
      </c>
      <c r="J11" s="46">
        <f>IF(B11="","",IF(E11=0,"Done ✓",IF(G11="","No date",IF(H11=0,"Due now","On track"))))</f>
        <v/>
      </c>
    </row>
    <row r="12">
      <c r="B12" s="32" t="inlineStr">
        <is>
          <t>Holiday gifts</t>
        </is>
      </c>
      <c r="C12" s="42" t="n">
        <v>600</v>
      </c>
      <c r="D12" s="42" t="n">
        <v>120</v>
      </c>
      <c r="E12" s="43">
        <f>IF(B12="","",MAX(0,C12-D12))</f>
        <v/>
      </c>
      <c r="F12" s="49">
        <f>IF(OR(B12="",C12=0),"",MIN(1,D12/C12))</f>
        <v/>
      </c>
      <c r="G12" s="35" t="n">
        <v>46366</v>
      </c>
      <c r="H12" s="46">
        <f>IF(OR(B12="",G12=""),"",MAX(0,(YEAR(G12)-YEAR($C$5))*12+MONTH(G12)-MONTH($C$5)))</f>
        <v/>
      </c>
      <c r="I12" s="43">
        <f>IF(OR(B12="",G12=""),"",IF(E12=0,0,IF(H12=0,E12,E12/H12)))</f>
        <v/>
      </c>
      <c r="J12" s="46">
        <f>IF(B12="","",IF(E12=0,"Done ✓",IF(G12="","No date",IF(H12=0,"Due now","On track"))))</f>
        <v/>
      </c>
    </row>
    <row r="13">
      <c r="B13" s="32" t="n"/>
      <c r="C13" s="42" t="n"/>
      <c r="D13" s="42" t="n"/>
      <c r="E13" s="43">
        <f>IF(B13="","",MAX(0,C13-D13))</f>
        <v/>
      </c>
      <c r="F13" s="49">
        <f>IF(OR(B13="",C13=0),"",MIN(1,D13/C13))</f>
        <v/>
      </c>
      <c r="G13" s="35" t="n"/>
      <c r="H13" s="46">
        <f>IF(OR(B13="",G13=""),"",MAX(0,(YEAR(G13)-YEAR($C$5))*12+MONTH(G13)-MONTH($C$5)))</f>
        <v/>
      </c>
      <c r="I13" s="43">
        <f>IF(OR(B13="",G13=""),"",IF(E13=0,0,IF(H13=0,E13,E13/H13)))</f>
        <v/>
      </c>
      <c r="J13" s="46">
        <f>IF(B13="","",IF(E13=0,"Done ✓",IF(G13="","No date",IF(H13=0,"Due now","On track"))))</f>
        <v/>
      </c>
    </row>
    <row r="14">
      <c r="B14" s="32" t="n"/>
      <c r="C14" s="42" t="n"/>
      <c r="D14" s="42" t="n"/>
      <c r="E14" s="43">
        <f>IF(B14="","",MAX(0,C14-D14))</f>
        <v/>
      </c>
      <c r="F14" s="49">
        <f>IF(OR(B14="",C14=0),"",MIN(1,D14/C14))</f>
        <v/>
      </c>
      <c r="G14" s="35" t="n"/>
      <c r="H14" s="46">
        <f>IF(OR(B14="",G14=""),"",MAX(0,(YEAR(G14)-YEAR($C$5))*12+MONTH(G14)-MONTH($C$5)))</f>
        <v/>
      </c>
      <c r="I14" s="43">
        <f>IF(OR(B14="",G14=""),"",IF(E14=0,0,IF(H14=0,E14,E14/H14)))</f>
        <v/>
      </c>
      <c r="J14" s="46">
        <f>IF(B14="","",IF(E14=0,"Done ✓",IF(G14="","No date",IF(H14=0,"Due now","On track"))))</f>
        <v/>
      </c>
    </row>
    <row r="15">
      <c r="B15" s="32" t="n"/>
      <c r="C15" s="42" t="n"/>
      <c r="D15" s="42" t="n"/>
      <c r="E15" s="43">
        <f>IF(B15="","",MAX(0,C15-D15))</f>
        <v/>
      </c>
      <c r="F15" s="49">
        <f>IF(OR(B15="",C15=0),"",MIN(1,D15/C15))</f>
        <v/>
      </c>
      <c r="G15" s="35" t="n"/>
      <c r="H15" s="46">
        <f>IF(OR(B15="",G15=""),"",MAX(0,(YEAR(G15)-YEAR($C$5))*12+MONTH(G15)-MONTH($C$5)))</f>
        <v/>
      </c>
      <c r="I15" s="43">
        <f>IF(OR(B15="",G15=""),"",IF(E15=0,0,IF(H15=0,E15,E15/H15)))</f>
        <v/>
      </c>
      <c r="J15" s="46">
        <f>IF(B15="","",IF(E15=0,"Done ✓",IF(G15="","No date",IF(H15=0,"Due now","On track"))))</f>
        <v/>
      </c>
    </row>
    <row r="16">
      <c r="B16" s="32" t="n"/>
      <c r="C16" s="42" t="n"/>
      <c r="D16" s="42" t="n"/>
      <c r="E16" s="43">
        <f>IF(B16="","",MAX(0,C16-D16))</f>
        <v/>
      </c>
      <c r="F16" s="49">
        <f>IF(OR(B16="",C16=0),"",MIN(1,D16/C16))</f>
        <v/>
      </c>
      <c r="G16" s="35" t="n"/>
      <c r="H16" s="46">
        <f>IF(OR(B16="",G16=""),"",MAX(0,(YEAR(G16)-YEAR($C$5))*12+MONTH(G16)-MONTH($C$5)))</f>
        <v/>
      </c>
      <c r="I16" s="43">
        <f>IF(OR(B16="",G16=""),"",IF(E16=0,0,IF(H16=0,E16,E16/H16)))</f>
        <v/>
      </c>
      <c r="J16" s="46">
        <f>IF(B16="","",IF(E16=0,"Done ✓",IF(G16="","No date",IF(H16=0,"Due now","On track"))))</f>
        <v/>
      </c>
    </row>
    <row r="17">
      <c r="B17" s="32" t="n"/>
      <c r="C17" s="42" t="n"/>
      <c r="D17" s="42" t="n"/>
      <c r="E17" s="43">
        <f>IF(B17="","",MAX(0,C17-D17))</f>
        <v/>
      </c>
      <c r="F17" s="49">
        <f>IF(OR(B17="",C17=0),"",MIN(1,D17/C17))</f>
        <v/>
      </c>
      <c r="G17" s="35" t="n"/>
      <c r="H17" s="46">
        <f>IF(OR(B17="",G17=""),"",MAX(0,(YEAR(G17)-YEAR($C$5))*12+MONTH(G17)-MONTH($C$5)))</f>
        <v/>
      </c>
      <c r="I17" s="43">
        <f>IF(OR(B17="",G17=""),"",IF(E17=0,0,IF(H17=0,E17,E17/H17)))</f>
        <v/>
      </c>
      <c r="J17" s="46">
        <f>IF(B17="","",IF(E17=0,"Done ✓",IF(G17="","No date",IF(H17=0,"Due now","On track"))))</f>
        <v/>
      </c>
    </row>
    <row r="18">
      <c r="B18" s="32" t="n"/>
      <c r="C18" s="42" t="n"/>
      <c r="D18" s="42" t="n"/>
      <c r="E18" s="43">
        <f>IF(B18="","",MAX(0,C18-D18))</f>
        <v/>
      </c>
      <c r="F18" s="49">
        <f>IF(OR(B18="",C18=0),"",MIN(1,D18/C18))</f>
        <v/>
      </c>
      <c r="G18" s="35" t="n"/>
      <c r="H18" s="46">
        <f>IF(OR(B18="",G18=""),"",MAX(0,(YEAR(G18)-YEAR($C$5))*12+MONTH(G18)-MONTH($C$5)))</f>
        <v/>
      </c>
      <c r="I18" s="43">
        <f>IF(OR(B18="",G18=""),"",IF(E18=0,0,IF(H18=0,E18,E18/H18)))</f>
        <v/>
      </c>
      <c r="J18" s="46">
        <f>IF(B18="","",IF(E18=0,"Done ✓",IF(G18="","No date",IF(H18=0,"Due now","On track"))))</f>
        <v/>
      </c>
    </row>
    <row r="19">
      <c r="B19" s="32" t="n"/>
      <c r="C19" s="42" t="n"/>
      <c r="D19" s="42" t="n"/>
      <c r="E19" s="43">
        <f>IF(B19="","",MAX(0,C19-D19))</f>
        <v/>
      </c>
      <c r="F19" s="49">
        <f>IF(OR(B19="",C19=0),"",MIN(1,D19/C19))</f>
        <v/>
      </c>
      <c r="G19" s="35" t="n"/>
      <c r="H19" s="46">
        <f>IF(OR(B19="",G19=""),"",MAX(0,(YEAR(G19)-YEAR($C$5))*12+MONTH(G19)-MONTH($C$5)))</f>
        <v/>
      </c>
      <c r="I19" s="43">
        <f>IF(OR(B19="",G19=""),"",IF(E19=0,0,IF(H19=0,E19,E19/H19)))</f>
        <v/>
      </c>
      <c r="J19" s="46">
        <f>IF(B19="","",IF(E19=0,"Done ✓",IF(G19="","No date",IF(H19=0,"Due now","On track"))))</f>
        <v/>
      </c>
    </row>
    <row r="20">
      <c r="B20" s="32" t="n"/>
      <c r="C20" s="42" t="n"/>
      <c r="D20" s="42" t="n"/>
      <c r="E20" s="43">
        <f>IF(B20="","",MAX(0,C20-D20))</f>
        <v/>
      </c>
      <c r="F20" s="49">
        <f>IF(OR(B20="",C20=0),"",MIN(1,D20/C20))</f>
        <v/>
      </c>
      <c r="G20" s="35" t="n"/>
      <c r="H20" s="46">
        <f>IF(OR(B20="",G20=""),"",MAX(0,(YEAR(G20)-YEAR($C$5))*12+MONTH(G20)-MONTH($C$5)))</f>
        <v/>
      </c>
      <c r="I20" s="43">
        <f>IF(OR(B20="",G20=""),"",IF(E20=0,0,IF(H20=0,E20,E20/H20)))</f>
        <v/>
      </c>
      <c r="J20" s="46">
        <f>IF(B20="","",IF(E20=0,"Done ✓",IF(G20="","No date",IF(H20=0,"Due now","On track"))))</f>
        <v/>
      </c>
    </row>
    <row r="21">
      <c r="B21" s="32" t="n"/>
      <c r="C21" s="42" t="n"/>
      <c r="D21" s="42" t="n"/>
      <c r="E21" s="43">
        <f>IF(B21="","",MAX(0,C21-D21))</f>
        <v/>
      </c>
      <c r="F21" s="49">
        <f>IF(OR(B21="",C21=0),"",MIN(1,D21/C21))</f>
        <v/>
      </c>
      <c r="G21" s="35" t="n"/>
      <c r="H21" s="46">
        <f>IF(OR(B21="",G21=""),"",MAX(0,(YEAR(G21)-YEAR($C$5))*12+MONTH(G21)-MONTH($C$5)))</f>
        <v/>
      </c>
      <c r="I21" s="43">
        <f>IF(OR(B21="",G21=""),"",IF(E21=0,0,IF(H21=0,E21,E21/H21)))</f>
        <v/>
      </c>
      <c r="J21" s="46">
        <f>IF(B21="","",IF(E21=0,"Done ✓",IF(G21="","No date",IF(H21=0,"Due now","On track"))))</f>
        <v/>
      </c>
    </row>
    <row r="22">
      <c r="B22" s="32" t="n"/>
      <c r="C22" s="42" t="n"/>
      <c r="D22" s="42" t="n"/>
      <c r="E22" s="43">
        <f>IF(B22="","",MAX(0,C22-D22))</f>
        <v/>
      </c>
      <c r="F22" s="49">
        <f>IF(OR(B22="",C22=0),"",MIN(1,D22/C22))</f>
        <v/>
      </c>
      <c r="G22" s="35" t="n"/>
      <c r="H22" s="46">
        <f>IF(OR(B22="",G22=""),"",MAX(0,(YEAR(G22)-YEAR($C$5))*12+MONTH(G22)-MONTH($C$5)))</f>
        <v/>
      </c>
      <c r="I22" s="43">
        <f>IF(OR(B22="",G22=""),"",IF(E22=0,0,IF(H22=0,E22,E22/H22)))</f>
        <v/>
      </c>
      <c r="J22" s="46">
        <f>IF(B22="","",IF(E22=0,"Done ✓",IF(G22="","No date",IF(H22=0,"Due now","On track"))))</f>
        <v/>
      </c>
    </row>
    <row r="23">
      <c r="B23" s="32" t="n"/>
      <c r="C23" s="42" t="n"/>
      <c r="D23" s="42" t="n"/>
      <c r="E23" s="43">
        <f>IF(B23="","",MAX(0,C23-D23))</f>
        <v/>
      </c>
      <c r="F23" s="49">
        <f>IF(OR(B23="",C23=0),"",MIN(1,D23/C23))</f>
        <v/>
      </c>
      <c r="G23" s="35" t="n"/>
      <c r="H23" s="46">
        <f>IF(OR(B23="",G23=""),"",MAX(0,(YEAR(G23)-YEAR($C$5))*12+MONTH(G23)-MONTH($C$5)))</f>
        <v/>
      </c>
      <c r="I23" s="43">
        <f>IF(OR(B23="",G23=""),"",IF(E23=0,0,IF(H23=0,E23,E23/H23)))</f>
        <v/>
      </c>
      <c r="J23" s="46">
        <f>IF(B23="","",IF(E23=0,"Done ✓",IF(G23="","No date",IF(H23=0,"Due now","On track"))))</f>
        <v/>
      </c>
    </row>
    <row r="24">
      <c r="B24" s="32" t="n"/>
      <c r="C24" s="42" t="n"/>
      <c r="D24" s="42" t="n"/>
      <c r="E24" s="43">
        <f>IF(B24="","",MAX(0,C24-D24))</f>
        <v/>
      </c>
      <c r="F24" s="49">
        <f>IF(OR(B24="",C24=0),"",MIN(1,D24/C24))</f>
        <v/>
      </c>
      <c r="G24" s="35" t="n"/>
      <c r="H24" s="46">
        <f>IF(OR(B24="",G24=""),"",MAX(0,(YEAR(G24)-YEAR($C$5))*12+MONTH(G24)-MONTH($C$5)))</f>
        <v/>
      </c>
      <c r="I24" s="43">
        <f>IF(OR(B24="",G24=""),"",IF(E24=0,0,IF(H24=0,E24,E24/H24)))</f>
        <v/>
      </c>
      <c r="J24" s="46">
        <f>IF(B24="","",IF(E24=0,"Done ✓",IF(G24="","No date",IF(H24=0,"Due now","On track"))))</f>
        <v/>
      </c>
    </row>
    <row r="25">
      <c r="B25" s="32" t="n"/>
      <c r="C25" s="42" t="n"/>
      <c r="D25" s="42" t="n"/>
      <c r="E25" s="43">
        <f>IF(B25="","",MAX(0,C25-D25))</f>
        <v/>
      </c>
      <c r="F25" s="49">
        <f>IF(OR(B25="",C25=0),"",MIN(1,D25/C25))</f>
        <v/>
      </c>
      <c r="G25" s="35" t="n"/>
      <c r="H25" s="46">
        <f>IF(OR(B25="",G25=""),"",MAX(0,(YEAR(G25)-YEAR($C$5))*12+MONTH(G25)-MONTH($C$5)))</f>
        <v/>
      </c>
      <c r="I25" s="43">
        <f>IF(OR(B25="",G25=""),"",IF(E25=0,0,IF(H25=0,E25,E25/H25)))</f>
        <v/>
      </c>
      <c r="J25" s="46">
        <f>IF(B25="","",IF(E25=0,"Done ✓",IF(G25="","No date",IF(H25=0,"Due now","On track"))))</f>
        <v/>
      </c>
    </row>
    <row r="26">
      <c r="B26" s="32" t="n"/>
      <c r="C26" s="42" t="n"/>
      <c r="D26" s="42" t="n"/>
      <c r="E26" s="43">
        <f>IF(B26="","",MAX(0,C26-D26))</f>
        <v/>
      </c>
      <c r="F26" s="49">
        <f>IF(OR(B26="",C26=0),"",MIN(1,D26/C26))</f>
        <v/>
      </c>
      <c r="G26" s="35" t="n"/>
      <c r="H26" s="46">
        <f>IF(OR(B26="",G26=""),"",MAX(0,(YEAR(G26)-YEAR($C$5))*12+MONTH(G26)-MONTH($C$5)))</f>
        <v/>
      </c>
      <c r="I26" s="43">
        <f>IF(OR(B26="",G26=""),"",IF(E26=0,0,IF(H26=0,E26,E26/H26)))</f>
        <v/>
      </c>
      <c r="J26" s="46">
        <f>IF(B26="","",IF(E26=0,"Done ✓",IF(G26="","No date",IF(H26=0,"Due now","On track"))))</f>
        <v/>
      </c>
    </row>
    <row r="27">
      <c r="B27" s="32" t="n"/>
      <c r="C27" s="42" t="n"/>
      <c r="D27" s="42" t="n"/>
      <c r="E27" s="43">
        <f>IF(B27="","",MAX(0,C27-D27))</f>
        <v/>
      </c>
      <c r="F27" s="49">
        <f>IF(OR(B27="",C27=0),"",MIN(1,D27/C27))</f>
        <v/>
      </c>
      <c r="G27" s="35" t="n"/>
      <c r="H27" s="46">
        <f>IF(OR(B27="",G27=""),"",MAX(0,(YEAR(G27)-YEAR($C$5))*12+MONTH(G27)-MONTH($C$5)))</f>
        <v/>
      </c>
      <c r="I27" s="43">
        <f>IF(OR(B27="",G27=""),"",IF(E27=0,0,IF(H27=0,E27,E27/H27)))</f>
        <v/>
      </c>
      <c r="J27" s="46">
        <f>IF(B27="","",IF(E27=0,"Done ✓",IF(G27="","No date",IF(H27=0,"Due now","On track"))))</f>
        <v/>
      </c>
    </row>
    <row r="29">
      <c r="B29" s="29" t="inlineStr">
        <is>
          <t>Totals</t>
        </is>
      </c>
      <c r="C29" s="23">
        <f>SUM(C8:C27)</f>
        <v/>
      </c>
      <c r="D29" s="23">
        <f>SUM(D8:D27)</f>
        <v/>
      </c>
      <c r="E29" s="23">
        <f>SUM(E8:E27)</f>
        <v/>
      </c>
      <c r="I29" s="23">
        <f>SUM(I8:I27)</f>
        <v/>
      </c>
    </row>
    <row r="31">
      <c r="B31" s="10" t="inlineStr">
        <is>
          <t>Example goals shown – replace with yours. 'Save per month' = remaining ÷ months left until the target date.</t>
        </is>
      </c>
    </row>
  </sheetData>
  <conditionalFormatting sqref="F8:F27">
    <cfRule type="dataBar" priority="1">
      <dataBar showValue="1">
        <cfvo type="num" val="0"/>
        <cfvo type="num" val="1"/>
        <color rgb="00E3B23C"/>
      </dataBar>
    </cfRule>
  </conditionalFormatting>
  <conditionalFormatting sqref="J8:J27">
    <cfRule type="cellIs" priority="2" operator="equal" dxfId="3">
      <formula>"Done ✓"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B03A2E"/>
    <outlinePr summaryBelow="1" summaryRight="1"/>
    <pageSetUpPr fitToPage="1"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0" customWidth="1" min="4" max="4"/>
    <col width="16" customWidth="1" min="5" max="5"/>
    <col width="12" customWidth="1" min="6" max="6"/>
    <col width="18" customWidth="1" min="7" max="7"/>
    <col width="22" customWidth="1" min="8" max="8"/>
    <col width="18" customWidth="1" min="9" max="9"/>
    <col width="24" customWidth="1" min="10" max="10"/>
  </cols>
  <sheetData>
    <row r="2">
      <c r="B2" s="7" t="inlineStr">
        <is>
          <t>Debt Payoff Planner</t>
        </is>
      </c>
    </row>
    <row r="3">
      <c r="B3" s="10" t="inlineStr">
        <is>
          <t>List each debt. Choose Snowball (smallest balance first) or Avalanche (highest rate first). Estimates assume fixed payments and no new charges.</t>
        </is>
      </c>
    </row>
    <row r="5">
      <c r="B5" s="29" t="inlineStr">
        <is>
          <t>Method</t>
        </is>
      </c>
      <c r="C5" s="50" t="inlineStr">
        <is>
          <t>Avalanche</t>
        </is>
      </c>
      <c r="E5" s="29" t="inlineStr">
        <is>
          <t>Extra you can pay per month</t>
        </is>
      </c>
      <c r="G5" s="42" t="n">
        <v>150</v>
      </c>
    </row>
    <row r="7" ht="22" customHeight="1">
      <c r="B7" s="19" t="inlineStr">
        <is>
          <t>Debt</t>
        </is>
      </c>
      <c r="C7" s="19" t="inlineStr">
        <is>
          <t>Balance</t>
        </is>
      </c>
      <c r="D7" s="19" t="inlineStr">
        <is>
          <t>APR %</t>
        </is>
      </c>
      <c r="E7" s="19" t="inlineStr">
        <is>
          <t>Minimum payment</t>
        </is>
      </c>
      <c r="F7" s="19" t="inlineStr">
        <is>
          <t>Payoff order</t>
        </is>
      </c>
      <c r="G7" s="19" t="inlineStr">
        <is>
          <t>Months at minimum</t>
        </is>
      </c>
      <c r="H7" s="19" t="inlineStr">
        <is>
          <t>Interest at minimum (est.)</t>
        </is>
      </c>
      <c r="I7" s="19" t="inlineStr">
        <is>
          <t>Monthly interest now</t>
        </is>
      </c>
      <c r="J7" s="19" t="inlineStr">
        <is>
          <t>Note</t>
        </is>
      </c>
    </row>
    <row r="8">
      <c r="B8" s="32" t="inlineStr">
        <is>
          <t>Credit card A</t>
        </is>
      </c>
      <c r="C8" s="42" t="n">
        <v>3200</v>
      </c>
      <c r="D8" s="51" t="n">
        <v>0.2499</v>
      </c>
      <c r="E8" s="42" t="n">
        <v>95</v>
      </c>
      <c r="F8" s="46">
        <f>IF(B8="","",IF($C$5="Snowball",SUMPRODUCT(($B$8:$B$22&lt;&gt;"")*($C$8:$C$22&lt;C8))+SUMPRODUCT(($B$8:$B$22&lt;&gt;"")*($C$8:$C$22=C8)*(ROW($B$8:$B$22)&lt;8))+1,SUMPRODUCT(($B$8:$B$22&lt;&gt;"")*($D$8:$D$22&gt;D8))+SUMPRODUCT(($B$8:$B$22&lt;&gt;"")*($D$8:$D$22=D8)*(ROW($B$8:$B$22)&lt;8))+1))</f>
        <v/>
      </c>
      <c r="G8" s="46">
        <f>IF(B8="","",IF(E8&lt;=C8*D8/12,"Never – raise payment",IFERROR(ROUNDUP(NPER(D8/12,-E8,C8),0),ROUNDUP(C8/MAX(E8,1),0))))</f>
        <v/>
      </c>
      <c r="H8" s="43">
        <f>IF(OR(B8="",NOT(ISNUMBER(G8))),"",G8*E8-C8)</f>
        <v/>
      </c>
      <c r="I8" s="52">
        <f>IF(B8="","",C8*D8/12)</f>
        <v/>
      </c>
      <c r="J8" s="32" t="n"/>
    </row>
    <row r="9">
      <c r="B9" s="32" t="inlineStr">
        <is>
          <t>Car loan</t>
        </is>
      </c>
      <c r="C9" s="42" t="n">
        <v>8900</v>
      </c>
      <c r="D9" s="51" t="n">
        <v>0.06900000000000001</v>
      </c>
      <c r="E9" s="42" t="n">
        <v>265</v>
      </c>
      <c r="F9" s="46">
        <f>IF(B9="","",IF($C$5="Snowball",SUMPRODUCT(($B$8:$B$22&lt;&gt;"")*($C$8:$C$22&lt;C9))+SUMPRODUCT(($B$8:$B$22&lt;&gt;"")*($C$8:$C$22=C9)*(ROW($B$8:$B$22)&lt;9))+1,SUMPRODUCT(($B$8:$B$22&lt;&gt;"")*($D$8:$D$22&gt;D9))+SUMPRODUCT(($B$8:$B$22&lt;&gt;"")*($D$8:$D$22=D9)*(ROW($B$8:$B$22)&lt;9))+1))</f>
        <v/>
      </c>
      <c r="G9" s="46">
        <f>IF(B9="","",IF(E9&lt;=C9*D9/12,"Never – raise payment",IFERROR(ROUNDUP(NPER(D9/12,-E9,C9),0),ROUNDUP(C9/MAX(E9,1),0))))</f>
        <v/>
      </c>
      <c r="H9" s="43">
        <f>IF(OR(B9="",NOT(ISNUMBER(G9))),"",G9*E9-C9)</f>
        <v/>
      </c>
      <c r="I9" s="52">
        <f>IF(B9="","",C9*D9/12)</f>
        <v/>
      </c>
      <c r="J9" s="32" t="n"/>
    </row>
    <row r="10">
      <c r="B10" s="32" t="inlineStr">
        <is>
          <t>Student loan</t>
        </is>
      </c>
      <c r="C10" s="42" t="n">
        <v>12400</v>
      </c>
      <c r="D10" s="51" t="n">
        <v>0.055</v>
      </c>
      <c r="E10" s="42" t="n">
        <v>140</v>
      </c>
      <c r="F10" s="46">
        <f>IF(B10="","",IF($C$5="Snowball",SUMPRODUCT(($B$8:$B$22&lt;&gt;"")*($C$8:$C$22&lt;C10))+SUMPRODUCT(($B$8:$B$22&lt;&gt;"")*($C$8:$C$22=C10)*(ROW($B$8:$B$22)&lt;10))+1,SUMPRODUCT(($B$8:$B$22&lt;&gt;"")*($D$8:$D$22&gt;D10))+SUMPRODUCT(($B$8:$B$22&lt;&gt;"")*($D$8:$D$22=D10)*(ROW($B$8:$B$22)&lt;10))+1))</f>
        <v/>
      </c>
      <c r="G10" s="46">
        <f>IF(B10="","",IF(E10&lt;=C10*D10/12,"Never – raise payment",IFERROR(ROUNDUP(NPER(D10/12,-E10,C10),0),ROUNDUP(C10/MAX(E10,1),0))))</f>
        <v/>
      </c>
      <c r="H10" s="43">
        <f>IF(OR(B10="",NOT(ISNUMBER(G10))),"",G10*E10-C10)</f>
        <v/>
      </c>
      <c r="I10" s="52">
        <f>IF(B10="","",C10*D10/12)</f>
        <v/>
      </c>
      <c r="J10" s="32" t="n"/>
    </row>
    <row r="11">
      <c r="B11" s="32" t="inlineStr">
        <is>
          <t>Store card</t>
        </is>
      </c>
      <c r="C11" s="42" t="n">
        <v>640</v>
      </c>
      <c r="D11" s="51" t="n">
        <v>0.2899</v>
      </c>
      <c r="E11" s="42" t="n">
        <v>30</v>
      </c>
      <c r="F11" s="46">
        <f>IF(B11="","",IF($C$5="Snowball",SUMPRODUCT(($B$8:$B$22&lt;&gt;"")*($C$8:$C$22&lt;C11))+SUMPRODUCT(($B$8:$B$22&lt;&gt;"")*($C$8:$C$22=C11)*(ROW($B$8:$B$22)&lt;11))+1,SUMPRODUCT(($B$8:$B$22&lt;&gt;"")*($D$8:$D$22&gt;D11))+SUMPRODUCT(($B$8:$B$22&lt;&gt;"")*($D$8:$D$22=D11)*(ROW($B$8:$B$22)&lt;11))+1))</f>
        <v/>
      </c>
      <c r="G11" s="46">
        <f>IF(B11="","",IF(E11&lt;=C11*D11/12,"Never – raise payment",IFERROR(ROUNDUP(NPER(D11/12,-E11,C11),0),ROUNDUP(C11/MAX(E11,1),0))))</f>
        <v/>
      </c>
      <c r="H11" s="43">
        <f>IF(OR(B11="",NOT(ISNUMBER(G11))),"",G11*E11-C11)</f>
        <v/>
      </c>
      <c r="I11" s="52">
        <f>IF(B11="","",C11*D11/12)</f>
        <v/>
      </c>
      <c r="J11" s="32" t="n"/>
    </row>
    <row r="12">
      <c r="B12" s="32" t="n"/>
      <c r="C12" s="42" t="n"/>
      <c r="D12" s="51" t="n"/>
      <c r="E12" s="42" t="n"/>
      <c r="F12" s="46">
        <f>IF(B12="","",IF($C$5="Snowball",SUMPRODUCT(($B$8:$B$22&lt;&gt;"")*($C$8:$C$22&lt;C12))+SUMPRODUCT(($B$8:$B$22&lt;&gt;"")*($C$8:$C$22=C12)*(ROW($B$8:$B$22)&lt;12))+1,SUMPRODUCT(($B$8:$B$22&lt;&gt;"")*($D$8:$D$22&gt;D12))+SUMPRODUCT(($B$8:$B$22&lt;&gt;"")*($D$8:$D$22=D12)*(ROW($B$8:$B$22)&lt;12))+1))</f>
        <v/>
      </c>
      <c r="G12" s="46">
        <f>IF(B12="","",IF(E12&lt;=C12*D12/12,"Never – raise payment",IFERROR(ROUNDUP(NPER(D12/12,-E12,C12),0),ROUNDUP(C12/MAX(E12,1),0))))</f>
        <v/>
      </c>
      <c r="H12" s="43">
        <f>IF(OR(B12="",NOT(ISNUMBER(G12))),"",G12*E12-C12)</f>
        <v/>
      </c>
      <c r="I12" s="52">
        <f>IF(B12="","",C12*D12/12)</f>
        <v/>
      </c>
      <c r="J12" s="32" t="n"/>
    </row>
    <row r="13">
      <c r="B13" s="32" t="n"/>
      <c r="C13" s="42" t="n"/>
      <c r="D13" s="51" t="n"/>
      <c r="E13" s="42" t="n"/>
      <c r="F13" s="46">
        <f>IF(B13="","",IF($C$5="Snowball",SUMPRODUCT(($B$8:$B$22&lt;&gt;"")*($C$8:$C$22&lt;C13))+SUMPRODUCT(($B$8:$B$22&lt;&gt;"")*($C$8:$C$22=C13)*(ROW($B$8:$B$22)&lt;13))+1,SUMPRODUCT(($B$8:$B$22&lt;&gt;"")*($D$8:$D$22&gt;D13))+SUMPRODUCT(($B$8:$B$22&lt;&gt;"")*($D$8:$D$22=D13)*(ROW($B$8:$B$22)&lt;13))+1))</f>
        <v/>
      </c>
      <c r="G13" s="46">
        <f>IF(B13="","",IF(E13&lt;=C13*D13/12,"Never – raise payment",IFERROR(ROUNDUP(NPER(D13/12,-E13,C13),0),ROUNDUP(C13/MAX(E13,1),0))))</f>
        <v/>
      </c>
      <c r="H13" s="43">
        <f>IF(OR(B13="",NOT(ISNUMBER(G13))),"",G13*E13-C13)</f>
        <v/>
      </c>
      <c r="I13" s="52">
        <f>IF(B13="","",C13*D13/12)</f>
        <v/>
      </c>
      <c r="J13" s="32" t="n"/>
    </row>
    <row r="14">
      <c r="B14" s="32" t="n"/>
      <c r="C14" s="42" t="n"/>
      <c r="D14" s="51" t="n"/>
      <c r="E14" s="42" t="n"/>
      <c r="F14" s="46">
        <f>IF(B14="","",IF($C$5="Snowball",SUMPRODUCT(($B$8:$B$22&lt;&gt;"")*($C$8:$C$22&lt;C14))+SUMPRODUCT(($B$8:$B$22&lt;&gt;"")*($C$8:$C$22=C14)*(ROW($B$8:$B$22)&lt;14))+1,SUMPRODUCT(($B$8:$B$22&lt;&gt;"")*($D$8:$D$22&gt;D14))+SUMPRODUCT(($B$8:$B$22&lt;&gt;"")*($D$8:$D$22=D14)*(ROW($B$8:$B$22)&lt;14))+1))</f>
        <v/>
      </c>
      <c r="G14" s="46">
        <f>IF(B14="","",IF(E14&lt;=C14*D14/12,"Never – raise payment",IFERROR(ROUNDUP(NPER(D14/12,-E14,C14),0),ROUNDUP(C14/MAX(E14,1),0))))</f>
        <v/>
      </c>
      <c r="H14" s="43">
        <f>IF(OR(B14="",NOT(ISNUMBER(G14))),"",G14*E14-C14)</f>
        <v/>
      </c>
      <c r="I14" s="52">
        <f>IF(B14="","",C14*D14/12)</f>
        <v/>
      </c>
      <c r="J14" s="32" t="n"/>
    </row>
    <row r="15">
      <c r="B15" s="32" t="n"/>
      <c r="C15" s="42" t="n"/>
      <c r="D15" s="51" t="n"/>
      <c r="E15" s="42" t="n"/>
      <c r="F15" s="46">
        <f>IF(B15="","",IF($C$5="Snowball",SUMPRODUCT(($B$8:$B$22&lt;&gt;"")*($C$8:$C$22&lt;C15))+SUMPRODUCT(($B$8:$B$22&lt;&gt;"")*($C$8:$C$22=C15)*(ROW($B$8:$B$22)&lt;15))+1,SUMPRODUCT(($B$8:$B$22&lt;&gt;"")*($D$8:$D$22&gt;D15))+SUMPRODUCT(($B$8:$B$22&lt;&gt;"")*($D$8:$D$22=D15)*(ROW($B$8:$B$22)&lt;15))+1))</f>
        <v/>
      </c>
      <c r="G15" s="46">
        <f>IF(B15="","",IF(E15&lt;=C15*D15/12,"Never – raise payment",IFERROR(ROUNDUP(NPER(D15/12,-E15,C15),0),ROUNDUP(C15/MAX(E15,1),0))))</f>
        <v/>
      </c>
      <c r="H15" s="43">
        <f>IF(OR(B15="",NOT(ISNUMBER(G15))),"",G15*E15-C15)</f>
        <v/>
      </c>
      <c r="I15" s="52">
        <f>IF(B15="","",C15*D15/12)</f>
        <v/>
      </c>
      <c r="J15" s="32" t="n"/>
    </row>
    <row r="16">
      <c r="B16" s="32" t="n"/>
      <c r="C16" s="42" t="n"/>
      <c r="D16" s="51" t="n"/>
      <c r="E16" s="42" t="n"/>
      <c r="F16" s="46">
        <f>IF(B16="","",IF($C$5="Snowball",SUMPRODUCT(($B$8:$B$22&lt;&gt;"")*($C$8:$C$22&lt;C16))+SUMPRODUCT(($B$8:$B$22&lt;&gt;"")*($C$8:$C$22=C16)*(ROW($B$8:$B$22)&lt;16))+1,SUMPRODUCT(($B$8:$B$22&lt;&gt;"")*($D$8:$D$22&gt;D16))+SUMPRODUCT(($B$8:$B$22&lt;&gt;"")*($D$8:$D$22=D16)*(ROW($B$8:$B$22)&lt;16))+1))</f>
        <v/>
      </c>
      <c r="G16" s="46">
        <f>IF(B16="","",IF(E16&lt;=C16*D16/12,"Never – raise payment",IFERROR(ROUNDUP(NPER(D16/12,-E16,C16),0),ROUNDUP(C16/MAX(E16,1),0))))</f>
        <v/>
      </c>
      <c r="H16" s="43">
        <f>IF(OR(B16="",NOT(ISNUMBER(G16))),"",G16*E16-C16)</f>
        <v/>
      </c>
      <c r="I16" s="52">
        <f>IF(B16="","",C16*D16/12)</f>
        <v/>
      </c>
      <c r="J16" s="32" t="n"/>
    </row>
    <row r="17">
      <c r="B17" s="32" t="n"/>
      <c r="C17" s="42" t="n"/>
      <c r="D17" s="51" t="n"/>
      <c r="E17" s="42" t="n"/>
      <c r="F17" s="46">
        <f>IF(B17="","",IF($C$5="Snowball",SUMPRODUCT(($B$8:$B$22&lt;&gt;"")*($C$8:$C$22&lt;C17))+SUMPRODUCT(($B$8:$B$22&lt;&gt;"")*($C$8:$C$22=C17)*(ROW($B$8:$B$22)&lt;17))+1,SUMPRODUCT(($B$8:$B$22&lt;&gt;"")*($D$8:$D$22&gt;D17))+SUMPRODUCT(($B$8:$B$22&lt;&gt;"")*($D$8:$D$22=D17)*(ROW($B$8:$B$22)&lt;17))+1))</f>
        <v/>
      </c>
      <c r="G17" s="46">
        <f>IF(B17="","",IF(E17&lt;=C17*D17/12,"Never – raise payment",IFERROR(ROUNDUP(NPER(D17/12,-E17,C17),0),ROUNDUP(C17/MAX(E17,1),0))))</f>
        <v/>
      </c>
      <c r="H17" s="43">
        <f>IF(OR(B17="",NOT(ISNUMBER(G17))),"",G17*E17-C17)</f>
        <v/>
      </c>
      <c r="I17" s="52">
        <f>IF(B17="","",C17*D17/12)</f>
        <v/>
      </c>
      <c r="J17" s="32" t="n"/>
    </row>
    <row r="18">
      <c r="B18" s="32" t="n"/>
      <c r="C18" s="42" t="n"/>
      <c r="D18" s="51" t="n"/>
      <c r="E18" s="42" t="n"/>
      <c r="F18" s="46">
        <f>IF(B18="","",IF($C$5="Snowball",SUMPRODUCT(($B$8:$B$22&lt;&gt;"")*($C$8:$C$22&lt;C18))+SUMPRODUCT(($B$8:$B$22&lt;&gt;"")*($C$8:$C$22=C18)*(ROW($B$8:$B$22)&lt;18))+1,SUMPRODUCT(($B$8:$B$22&lt;&gt;"")*($D$8:$D$22&gt;D18))+SUMPRODUCT(($B$8:$B$22&lt;&gt;"")*($D$8:$D$22=D18)*(ROW($B$8:$B$22)&lt;18))+1))</f>
        <v/>
      </c>
      <c r="G18" s="46">
        <f>IF(B18="","",IF(E18&lt;=C18*D18/12,"Never – raise payment",IFERROR(ROUNDUP(NPER(D18/12,-E18,C18),0),ROUNDUP(C18/MAX(E18,1),0))))</f>
        <v/>
      </c>
      <c r="H18" s="43">
        <f>IF(OR(B18="",NOT(ISNUMBER(G18))),"",G18*E18-C18)</f>
        <v/>
      </c>
      <c r="I18" s="52">
        <f>IF(B18="","",C18*D18/12)</f>
        <v/>
      </c>
      <c r="J18" s="32" t="n"/>
    </row>
    <row r="19">
      <c r="B19" s="32" t="n"/>
      <c r="C19" s="42" t="n"/>
      <c r="D19" s="51" t="n"/>
      <c r="E19" s="42" t="n"/>
      <c r="F19" s="46">
        <f>IF(B19="","",IF($C$5="Snowball",SUMPRODUCT(($B$8:$B$22&lt;&gt;"")*($C$8:$C$22&lt;C19))+SUMPRODUCT(($B$8:$B$22&lt;&gt;"")*($C$8:$C$22=C19)*(ROW($B$8:$B$22)&lt;19))+1,SUMPRODUCT(($B$8:$B$22&lt;&gt;"")*($D$8:$D$22&gt;D19))+SUMPRODUCT(($B$8:$B$22&lt;&gt;"")*($D$8:$D$22=D19)*(ROW($B$8:$B$22)&lt;19))+1))</f>
        <v/>
      </c>
      <c r="G19" s="46">
        <f>IF(B19="","",IF(E19&lt;=C19*D19/12,"Never – raise payment",IFERROR(ROUNDUP(NPER(D19/12,-E19,C19),0),ROUNDUP(C19/MAX(E19,1),0))))</f>
        <v/>
      </c>
      <c r="H19" s="43">
        <f>IF(OR(B19="",NOT(ISNUMBER(G19))),"",G19*E19-C19)</f>
        <v/>
      </c>
      <c r="I19" s="52">
        <f>IF(B19="","",C19*D19/12)</f>
        <v/>
      </c>
      <c r="J19" s="32" t="n"/>
    </row>
    <row r="20">
      <c r="B20" s="32" t="n"/>
      <c r="C20" s="42" t="n"/>
      <c r="D20" s="51" t="n"/>
      <c r="E20" s="42" t="n"/>
      <c r="F20" s="46">
        <f>IF(B20="","",IF($C$5="Snowball",SUMPRODUCT(($B$8:$B$22&lt;&gt;"")*($C$8:$C$22&lt;C20))+SUMPRODUCT(($B$8:$B$22&lt;&gt;"")*($C$8:$C$22=C20)*(ROW($B$8:$B$22)&lt;20))+1,SUMPRODUCT(($B$8:$B$22&lt;&gt;"")*($D$8:$D$22&gt;D20))+SUMPRODUCT(($B$8:$B$22&lt;&gt;"")*($D$8:$D$22=D20)*(ROW($B$8:$B$22)&lt;20))+1))</f>
        <v/>
      </c>
      <c r="G20" s="46">
        <f>IF(B20="","",IF(E20&lt;=C20*D20/12,"Never – raise payment",IFERROR(ROUNDUP(NPER(D20/12,-E20,C20),0),ROUNDUP(C20/MAX(E20,1),0))))</f>
        <v/>
      </c>
      <c r="H20" s="43">
        <f>IF(OR(B20="",NOT(ISNUMBER(G20))),"",G20*E20-C20)</f>
        <v/>
      </c>
      <c r="I20" s="52">
        <f>IF(B20="","",C20*D20/12)</f>
        <v/>
      </c>
      <c r="J20" s="32" t="n"/>
    </row>
    <row r="21">
      <c r="B21" s="32" t="n"/>
      <c r="C21" s="42" t="n"/>
      <c r="D21" s="51" t="n"/>
      <c r="E21" s="42" t="n"/>
      <c r="F21" s="46">
        <f>IF(B21="","",IF($C$5="Snowball",SUMPRODUCT(($B$8:$B$22&lt;&gt;"")*($C$8:$C$22&lt;C21))+SUMPRODUCT(($B$8:$B$22&lt;&gt;"")*($C$8:$C$22=C21)*(ROW($B$8:$B$22)&lt;21))+1,SUMPRODUCT(($B$8:$B$22&lt;&gt;"")*($D$8:$D$22&gt;D21))+SUMPRODUCT(($B$8:$B$22&lt;&gt;"")*($D$8:$D$22=D21)*(ROW($B$8:$B$22)&lt;21))+1))</f>
        <v/>
      </c>
      <c r="G21" s="46">
        <f>IF(B21="","",IF(E21&lt;=C21*D21/12,"Never – raise payment",IFERROR(ROUNDUP(NPER(D21/12,-E21,C21),0),ROUNDUP(C21/MAX(E21,1),0))))</f>
        <v/>
      </c>
      <c r="H21" s="43">
        <f>IF(OR(B21="",NOT(ISNUMBER(G21))),"",G21*E21-C21)</f>
        <v/>
      </c>
      <c r="I21" s="52">
        <f>IF(B21="","",C21*D21/12)</f>
        <v/>
      </c>
      <c r="J21" s="32" t="n"/>
    </row>
    <row r="22">
      <c r="B22" s="32" t="n"/>
      <c r="C22" s="42" t="n"/>
      <c r="D22" s="51" t="n"/>
      <c r="E22" s="42" t="n"/>
      <c r="F22" s="46">
        <f>IF(B22="","",IF($C$5="Snowball",SUMPRODUCT(($B$8:$B$22&lt;&gt;"")*($C$8:$C$22&lt;C22))+SUMPRODUCT(($B$8:$B$22&lt;&gt;"")*($C$8:$C$22=C22)*(ROW($B$8:$B$22)&lt;22))+1,SUMPRODUCT(($B$8:$B$22&lt;&gt;"")*($D$8:$D$22&gt;D22))+SUMPRODUCT(($B$8:$B$22&lt;&gt;"")*($D$8:$D$22=D22)*(ROW($B$8:$B$22)&lt;22))+1))</f>
        <v/>
      </c>
      <c r="G22" s="46">
        <f>IF(B22="","",IF(E22&lt;=C22*D22/12,"Never – raise payment",IFERROR(ROUNDUP(NPER(D22/12,-E22,C22),0),ROUNDUP(C22/MAX(E22,1),0))))</f>
        <v/>
      </c>
      <c r="H22" s="43">
        <f>IF(OR(B22="",NOT(ISNUMBER(G22))),"",G22*E22-C22)</f>
        <v/>
      </c>
      <c r="I22" s="52">
        <f>IF(B22="","",C22*D22/12)</f>
        <v/>
      </c>
      <c r="J22" s="32" t="n"/>
    </row>
    <row r="24">
      <c r="B24" s="29" t="inlineStr">
        <is>
          <t>Totals</t>
        </is>
      </c>
      <c r="C24" s="23">
        <f>SUM(C8:C22)</f>
        <v/>
      </c>
      <c r="E24" s="23">
        <f>SUM(E8:E22)</f>
        <v/>
      </c>
      <c r="I24" s="53">
        <f>SUM(I8:I22)</f>
        <v/>
      </c>
    </row>
    <row r="26">
      <c r="B26" s="8" t="inlineStr">
        <is>
          <t>How to use the plan</t>
        </is>
      </c>
    </row>
    <row r="27">
      <c r="B27" s="27" t="inlineStr">
        <is>
          <t>1. Pay the minimum on every debt.</t>
        </is>
      </c>
    </row>
    <row r="28">
      <c r="B28" s="27" t="inlineStr">
        <is>
          <t>2. Send the 'extra' amount (cell G5) to the debt with Payoff order = 1 (highlighted).</t>
        </is>
      </c>
    </row>
    <row r="29">
      <c r="B29" s="27" t="inlineStr">
        <is>
          <t>3. When it's paid off, add its old minimum to the extra and move to order 2. Repeat.</t>
        </is>
      </c>
    </row>
    <row r="30">
      <c r="B30" s="27" t="inlineStr">
        <is>
          <t>Snowball = quick wins (smallest balance first). Avalanche = least interest overall (highest APR first). Both work — pick the one you'll stick with.</t>
        </is>
      </c>
    </row>
    <row r="31">
      <c r="B31" s="27" t="inlineStr">
        <is>
          <t>Estimates only. They assume fixed payments, no new charges, and simple monthly compounding. Your lender's statement is the source of truth.</t>
        </is>
      </c>
    </row>
  </sheetData>
  <conditionalFormatting sqref="F8:F22">
    <cfRule type="cellIs" priority="1" operator="equal" dxfId="5">
      <formula>1</formula>
    </cfRule>
  </conditionalFormatting>
  <dataValidations count="1">
    <dataValidation sqref="C5" showDropDown="0" showInputMessage="0" showErrorMessage="0" allowBlank="0" type="list">
      <formula1>"Snowball,Avalanche"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D2B"/>
    <outlinePr summaryBelow="1" summaryRight="1"/>
    <pageSetUpPr fitToPage="1"/>
  </sheetPr>
  <dimension ref="B2:O3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7" t="inlineStr">
        <is>
          <t>Net Worth Tracker</t>
        </is>
      </c>
    </row>
    <row r="3">
      <c r="B3" s="10" t="inlineStr">
        <is>
          <t>Once a month, type your balances. Net worth = what you own − what you owe.</t>
        </is>
      </c>
    </row>
    <row r="6" ht="22" customHeight="1">
      <c r="B6" s="19" t="inlineStr">
        <is>
          <t>Month</t>
        </is>
      </c>
      <c r="C6" s="19" t="inlineStr">
        <is>
          <t>Cash &amp; checking</t>
        </is>
      </c>
      <c r="D6" s="19" t="inlineStr">
        <is>
          <t>Savings</t>
        </is>
      </c>
      <c r="E6" s="19" t="inlineStr">
        <is>
          <t>Investments / retirement</t>
        </is>
      </c>
      <c r="F6" s="19" t="inlineStr">
        <is>
          <t>Home / car value</t>
        </is>
      </c>
      <c r="G6" s="19" t="inlineStr">
        <is>
          <t>Other assets</t>
        </is>
      </c>
      <c r="H6" s="19" t="inlineStr">
        <is>
          <t>TOTAL ASSETS</t>
        </is>
      </c>
      <c r="I6" s="19" t="inlineStr">
        <is>
          <t>Credit cards</t>
        </is>
      </c>
      <c r="J6" s="19" t="inlineStr">
        <is>
          <t>Loans</t>
        </is>
      </c>
      <c r="K6" s="19" t="inlineStr">
        <is>
          <t>Mortgage</t>
        </is>
      </c>
      <c r="L6" s="19" t="inlineStr">
        <is>
          <t>Other debts</t>
        </is>
      </c>
      <c r="M6" s="19" t="inlineStr">
        <is>
          <t>TOTAL DEBTS</t>
        </is>
      </c>
      <c r="N6" s="19" t="inlineStr">
        <is>
          <t>NET WORTH</t>
        </is>
      </c>
      <c r="O6" s="19" t="inlineStr">
        <is>
          <t>Change</t>
        </is>
      </c>
    </row>
    <row r="7">
      <c r="B7" s="54">
        <f>DATE(Settings!$C$5,1,1)</f>
        <v/>
      </c>
      <c r="C7" s="42" t="n">
        <v>2400</v>
      </c>
      <c r="D7" s="42" t="n">
        <v>6100</v>
      </c>
      <c r="E7" s="42" t="n">
        <v>15200</v>
      </c>
      <c r="F7" s="42" t="n">
        <v>0</v>
      </c>
      <c r="G7" s="42" t="n">
        <v>0</v>
      </c>
      <c r="H7" s="23">
        <f>SUM(C7:G7)</f>
        <v/>
      </c>
      <c r="I7" s="42" t="n">
        <v>3200</v>
      </c>
      <c r="J7" s="42" t="n">
        <v>8900</v>
      </c>
      <c r="K7" s="42" t="n">
        <v>0</v>
      </c>
      <c r="L7" s="42" t="n">
        <v>0</v>
      </c>
      <c r="M7" s="23">
        <f>SUM(I7:L7)</f>
        <v/>
      </c>
      <c r="N7" s="55">
        <f>IF(AND(H7=0,M7=0),"",H7-M7)</f>
        <v/>
      </c>
      <c r="O7" s="43" t="inlineStr"/>
    </row>
    <row r="8">
      <c r="B8" s="54">
        <f>DATE(YEAR(B7),MONTH(B7)+1,1)</f>
        <v/>
      </c>
      <c r="C8" s="42" t="n">
        <v>2650</v>
      </c>
      <c r="D8" s="42" t="n">
        <v>6500</v>
      </c>
      <c r="E8" s="42" t="n">
        <v>15650</v>
      </c>
      <c r="F8" s="42" t="n">
        <v>0</v>
      </c>
      <c r="G8" s="42" t="n">
        <v>0</v>
      </c>
      <c r="H8" s="23">
        <f>SUM(C8:G8)</f>
        <v/>
      </c>
      <c r="I8" s="42" t="n">
        <v>3050</v>
      </c>
      <c r="J8" s="42" t="n">
        <v>8635</v>
      </c>
      <c r="K8" s="42" t="n">
        <v>0</v>
      </c>
      <c r="L8" s="42" t="n">
        <v>0</v>
      </c>
      <c r="M8" s="23">
        <f>SUM(I8:L8)</f>
        <v/>
      </c>
      <c r="N8" s="55">
        <f>IF(AND(H8=0,M8=0),"",H8-M8)</f>
        <v/>
      </c>
      <c r="O8" s="43">
        <f>IF(OR(N8="",N7=""),"",N8-N7)</f>
        <v/>
      </c>
    </row>
    <row r="9">
      <c r="B9" s="54">
        <f>DATE(YEAR(B8),MONTH(B8)+1,1)</f>
        <v/>
      </c>
      <c r="C9" s="42" t="n">
        <v>2100</v>
      </c>
      <c r="D9" s="42" t="n">
        <v>6900</v>
      </c>
      <c r="E9" s="42" t="n">
        <v>15900</v>
      </c>
      <c r="F9" s="42" t="n">
        <v>0</v>
      </c>
      <c r="G9" s="42" t="n">
        <v>0</v>
      </c>
      <c r="H9" s="23">
        <f>SUM(C9:G9)</f>
        <v/>
      </c>
      <c r="I9" s="42" t="n">
        <v>2900</v>
      </c>
      <c r="J9" s="42" t="n">
        <v>8370</v>
      </c>
      <c r="K9" s="42" t="n">
        <v>0</v>
      </c>
      <c r="L9" s="42" t="n">
        <v>0</v>
      </c>
      <c r="M9" s="23">
        <f>SUM(I9:L9)</f>
        <v/>
      </c>
      <c r="N9" s="55">
        <f>IF(AND(H9=0,M9=0),"",H9-M9)</f>
        <v/>
      </c>
      <c r="O9" s="43">
        <f>IF(OR(N9="",N8=""),"",N9-N8)</f>
        <v/>
      </c>
    </row>
    <row r="10">
      <c r="B10" s="54">
        <f>DATE(YEAR(B9),MONTH(B9)+1,1)</f>
        <v/>
      </c>
      <c r="C10" s="42" t="n"/>
      <c r="D10" s="42" t="n"/>
      <c r="E10" s="42" t="n"/>
      <c r="F10" s="42" t="n"/>
      <c r="G10" s="42" t="n"/>
      <c r="H10" s="23">
        <f>SUM(C10:G10)</f>
        <v/>
      </c>
      <c r="I10" s="42" t="n"/>
      <c r="J10" s="42" t="n"/>
      <c r="K10" s="42" t="n"/>
      <c r="L10" s="42" t="n"/>
      <c r="M10" s="23">
        <f>SUM(I10:L10)</f>
        <v/>
      </c>
      <c r="N10" s="55">
        <f>IF(AND(H10=0,M10=0),"",H10-M10)</f>
        <v/>
      </c>
      <c r="O10" s="43">
        <f>IF(OR(N10="",N9=""),"",N10-N9)</f>
        <v/>
      </c>
    </row>
    <row r="11">
      <c r="B11" s="54">
        <f>DATE(YEAR(B10),MONTH(B10)+1,1)</f>
        <v/>
      </c>
      <c r="C11" s="42" t="n"/>
      <c r="D11" s="42" t="n"/>
      <c r="E11" s="42" t="n"/>
      <c r="F11" s="42" t="n"/>
      <c r="G11" s="42" t="n"/>
      <c r="H11" s="23">
        <f>SUM(C11:G11)</f>
        <v/>
      </c>
      <c r="I11" s="42" t="n"/>
      <c r="J11" s="42" t="n"/>
      <c r="K11" s="42" t="n"/>
      <c r="L11" s="42" t="n"/>
      <c r="M11" s="23">
        <f>SUM(I11:L11)</f>
        <v/>
      </c>
      <c r="N11" s="55">
        <f>IF(AND(H11=0,M11=0),"",H11-M11)</f>
        <v/>
      </c>
      <c r="O11" s="43">
        <f>IF(OR(N11="",N10=""),"",N11-N10)</f>
        <v/>
      </c>
    </row>
    <row r="12">
      <c r="B12" s="54">
        <f>DATE(YEAR(B11),MONTH(B11)+1,1)</f>
        <v/>
      </c>
      <c r="C12" s="42" t="n"/>
      <c r="D12" s="42" t="n"/>
      <c r="E12" s="42" t="n"/>
      <c r="F12" s="42" t="n"/>
      <c r="G12" s="42" t="n"/>
      <c r="H12" s="23">
        <f>SUM(C12:G12)</f>
        <v/>
      </c>
      <c r="I12" s="42" t="n"/>
      <c r="J12" s="42" t="n"/>
      <c r="K12" s="42" t="n"/>
      <c r="L12" s="42" t="n"/>
      <c r="M12" s="23">
        <f>SUM(I12:L12)</f>
        <v/>
      </c>
      <c r="N12" s="55">
        <f>IF(AND(H12=0,M12=0),"",H12-M12)</f>
        <v/>
      </c>
      <c r="O12" s="43">
        <f>IF(OR(N12="",N11=""),"",N12-N11)</f>
        <v/>
      </c>
    </row>
    <row r="13">
      <c r="B13" s="54">
        <f>DATE(YEAR(B12),MONTH(B12)+1,1)</f>
        <v/>
      </c>
      <c r="C13" s="42" t="n"/>
      <c r="D13" s="42" t="n"/>
      <c r="E13" s="42" t="n"/>
      <c r="F13" s="42" t="n"/>
      <c r="G13" s="42" t="n"/>
      <c r="H13" s="23">
        <f>SUM(C13:G13)</f>
        <v/>
      </c>
      <c r="I13" s="42" t="n"/>
      <c r="J13" s="42" t="n"/>
      <c r="K13" s="42" t="n"/>
      <c r="L13" s="42" t="n"/>
      <c r="M13" s="23">
        <f>SUM(I13:L13)</f>
        <v/>
      </c>
      <c r="N13" s="55">
        <f>IF(AND(H13=0,M13=0),"",H13-M13)</f>
        <v/>
      </c>
      <c r="O13" s="43">
        <f>IF(OR(N13="",N12=""),"",N13-N12)</f>
        <v/>
      </c>
    </row>
    <row r="14">
      <c r="B14" s="54">
        <f>DATE(YEAR(B13),MONTH(B13)+1,1)</f>
        <v/>
      </c>
      <c r="C14" s="42" t="n"/>
      <c r="D14" s="42" t="n"/>
      <c r="E14" s="42" t="n"/>
      <c r="F14" s="42" t="n"/>
      <c r="G14" s="42" t="n"/>
      <c r="H14" s="23">
        <f>SUM(C14:G14)</f>
        <v/>
      </c>
      <c r="I14" s="42" t="n"/>
      <c r="J14" s="42" t="n"/>
      <c r="K14" s="42" t="n"/>
      <c r="L14" s="42" t="n"/>
      <c r="M14" s="23">
        <f>SUM(I14:L14)</f>
        <v/>
      </c>
      <c r="N14" s="55">
        <f>IF(AND(H14=0,M14=0),"",H14-M14)</f>
        <v/>
      </c>
      <c r="O14" s="43">
        <f>IF(OR(N14="",N13=""),"",N14-N13)</f>
        <v/>
      </c>
    </row>
    <row r="15">
      <c r="B15" s="54">
        <f>DATE(YEAR(B14),MONTH(B14)+1,1)</f>
        <v/>
      </c>
      <c r="C15" s="42" t="n"/>
      <c r="D15" s="42" t="n"/>
      <c r="E15" s="42" t="n"/>
      <c r="F15" s="42" t="n"/>
      <c r="G15" s="42" t="n"/>
      <c r="H15" s="23">
        <f>SUM(C15:G15)</f>
        <v/>
      </c>
      <c r="I15" s="42" t="n"/>
      <c r="J15" s="42" t="n"/>
      <c r="K15" s="42" t="n"/>
      <c r="L15" s="42" t="n"/>
      <c r="M15" s="23">
        <f>SUM(I15:L15)</f>
        <v/>
      </c>
      <c r="N15" s="55">
        <f>IF(AND(H15=0,M15=0),"",H15-M15)</f>
        <v/>
      </c>
      <c r="O15" s="43">
        <f>IF(OR(N15="",N14=""),"",N15-N14)</f>
        <v/>
      </c>
    </row>
    <row r="16">
      <c r="B16" s="54">
        <f>DATE(YEAR(B15),MONTH(B15)+1,1)</f>
        <v/>
      </c>
      <c r="C16" s="42" t="n"/>
      <c r="D16" s="42" t="n"/>
      <c r="E16" s="42" t="n"/>
      <c r="F16" s="42" t="n"/>
      <c r="G16" s="42" t="n"/>
      <c r="H16" s="23">
        <f>SUM(C16:G16)</f>
        <v/>
      </c>
      <c r="I16" s="42" t="n"/>
      <c r="J16" s="42" t="n"/>
      <c r="K16" s="42" t="n"/>
      <c r="L16" s="42" t="n"/>
      <c r="M16" s="23">
        <f>SUM(I16:L16)</f>
        <v/>
      </c>
      <c r="N16" s="55">
        <f>IF(AND(H16=0,M16=0),"",H16-M16)</f>
        <v/>
      </c>
      <c r="O16" s="43">
        <f>IF(OR(N16="",N15=""),"",N16-N15)</f>
        <v/>
      </c>
    </row>
    <row r="17">
      <c r="B17" s="54">
        <f>DATE(YEAR(B16),MONTH(B16)+1,1)</f>
        <v/>
      </c>
      <c r="C17" s="42" t="n"/>
      <c r="D17" s="42" t="n"/>
      <c r="E17" s="42" t="n"/>
      <c r="F17" s="42" t="n"/>
      <c r="G17" s="42" t="n"/>
      <c r="H17" s="23">
        <f>SUM(C17:G17)</f>
        <v/>
      </c>
      <c r="I17" s="42" t="n"/>
      <c r="J17" s="42" t="n"/>
      <c r="K17" s="42" t="n"/>
      <c r="L17" s="42" t="n"/>
      <c r="M17" s="23">
        <f>SUM(I17:L17)</f>
        <v/>
      </c>
      <c r="N17" s="55">
        <f>IF(AND(H17=0,M17=0),"",H17-M17)</f>
        <v/>
      </c>
      <c r="O17" s="43">
        <f>IF(OR(N17="",N16=""),"",N17-N16)</f>
        <v/>
      </c>
    </row>
    <row r="18">
      <c r="B18" s="54">
        <f>DATE(YEAR(B17),MONTH(B17)+1,1)</f>
        <v/>
      </c>
      <c r="C18" s="42" t="n"/>
      <c r="D18" s="42" t="n"/>
      <c r="E18" s="42" t="n"/>
      <c r="F18" s="42" t="n"/>
      <c r="G18" s="42" t="n"/>
      <c r="H18" s="23">
        <f>SUM(C18:G18)</f>
        <v/>
      </c>
      <c r="I18" s="42" t="n"/>
      <c r="J18" s="42" t="n"/>
      <c r="K18" s="42" t="n"/>
      <c r="L18" s="42" t="n"/>
      <c r="M18" s="23">
        <f>SUM(I18:L18)</f>
        <v/>
      </c>
      <c r="N18" s="55">
        <f>IF(AND(H18=0,M18=0),"",H18-M18)</f>
        <v/>
      </c>
      <c r="O18" s="43">
        <f>IF(OR(N18="",N17=""),"",N18-N17)</f>
        <v/>
      </c>
    </row>
    <row r="19">
      <c r="B19" s="54">
        <f>DATE(YEAR(B18),MONTH(B18)+1,1)</f>
        <v/>
      </c>
      <c r="C19" s="42" t="n"/>
      <c r="D19" s="42" t="n"/>
      <c r="E19" s="42" t="n"/>
      <c r="F19" s="42" t="n"/>
      <c r="G19" s="42" t="n"/>
      <c r="H19" s="23">
        <f>SUM(C19:G19)</f>
        <v/>
      </c>
      <c r="I19" s="42" t="n"/>
      <c r="J19" s="42" t="n"/>
      <c r="K19" s="42" t="n"/>
      <c r="L19" s="42" t="n"/>
      <c r="M19" s="23">
        <f>SUM(I19:L19)</f>
        <v/>
      </c>
      <c r="N19" s="55">
        <f>IF(AND(H19=0,M19=0),"",H19-M19)</f>
        <v/>
      </c>
      <c r="O19" s="43">
        <f>IF(OR(N19="",N18=""),"",N19-N18)</f>
        <v/>
      </c>
    </row>
    <row r="20">
      <c r="B20" s="54">
        <f>DATE(YEAR(B19),MONTH(B19)+1,1)</f>
        <v/>
      </c>
      <c r="C20" s="42" t="n"/>
      <c r="D20" s="42" t="n"/>
      <c r="E20" s="42" t="n"/>
      <c r="F20" s="42" t="n"/>
      <c r="G20" s="42" t="n"/>
      <c r="H20" s="23">
        <f>SUM(C20:G20)</f>
        <v/>
      </c>
      <c r="I20" s="42" t="n"/>
      <c r="J20" s="42" t="n"/>
      <c r="K20" s="42" t="n"/>
      <c r="L20" s="42" t="n"/>
      <c r="M20" s="23">
        <f>SUM(I20:L20)</f>
        <v/>
      </c>
      <c r="N20" s="55">
        <f>IF(AND(H20=0,M20=0),"",H20-M20)</f>
        <v/>
      </c>
      <c r="O20" s="43">
        <f>IF(OR(N20="",N19=""),"",N20-N19)</f>
        <v/>
      </c>
    </row>
    <row r="21">
      <c r="B21" s="54">
        <f>DATE(YEAR(B20),MONTH(B20)+1,1)</f>
        <v/>
      </c>
      <c r="C21" s="42" t="n"/>
      <c r="D21" s="42" t="n"/>
      <c r="E21" s="42" t="n"/>
      <c r="F21" s="42" t="n"/>
      <c r="G21" s="42" t="n"/>
      <c r="H21" s="23">
        <f>SUM(C21:G21)</f>
        <v/>
      </c>
      <c r="I21" s="42" t="n"/>
      <c r="J21" s="42" t="n"/>
      <c r="K21" s="42" t="n"/>
      <c r="L21" s="42" t="n"/>
      <c r="M21" s="23">
        <f>SUM(I21:L21)</f>
        <v/>
      </c>
      <c r="N21" s="55">
        <f>IF(AND(H21=0,M21=0),"",H21-M21)</f>
        <v/>
      </c>
      <c r="O21" s="43">
        <f>IF(OR(N21="",N20=""),"",N21-N20)</f>
        <v/>
      </c>
    </row>
    <row r="22">
      <c r="B22" s="54">
        <f>DATE(YEAR(B21),MONTH(B21)+1,1)</f>
        <v/>
      </c>
      <c r="C22" s="42" t="n"/>
      <c r="D22" s="42" t="n"/>
      <c r="E22" s="42" t="n"/>
      <c r="F22" s="42" t="n"/>
      <c r="G22" s="42" t="n"/>
      <c r="H22" s="23">
        <f>SUM(C22:G22)</f>
        <v/>
      </c>
      <c r="I22" s="42" t="n"/>
      <c r="J22" s="42" t="n"/>
      <c r="K22" s="42" t="n"/>
      <c r="L22" s="42" t="n"/>
      <c r="M22" s="23">
        <f>SUM(I22:L22)</f>
        <v/>
      </c>
      <c r="N22" s="55">
        <f>IF(AND(H22=0,M22=0),"",H22-M22)</f>
        <v/>
      </c>
      <c r="O22" s="43">
        <f>IF(OR(N22="",N21=""),"",N22-N21)</f>
        <v/>
      </c>
    </row>
    <row r="23">
      <c r="B23" s="54">
        <f>DATE(YEAR(B22),MONTH(B22)+1,1)</f>
        <v/>
      </c>
      <c r="C23" s="42" t="n"/>
      <c r="D23" s="42" t="n"/>
      <c r="E23" s="42" t="n"/>
      <c r="F23" s="42" t="n"/>
      <c r="G23" s="42" t="n"/>
      <c r="H23" s="23">
        <f>SUM(C23:G23)</f>
        <v/>
      </c>
      <c r="I23" s="42" t="n"/>
      <c r="J23" s="42" t="n"/>
      <c r="K23" s="42" t="n"/>
      <c r="L23" s="42" t="n"/>
      <c r="M23" s="23">
        <f>SUM(I23:L23)</f>
        <v/>
      </c>
      <c r="N23" s="55">
        <f>IF(AND(H23=0,M23=0),"",H23-M23)</f>
        <v/>
      </c>
      <c r="O23" s="43">
        <f>IF(OR(N23="",N22=""),"",N23-N22)</f>
        <v/>
      </c>
    </row>
    <row r="24">
      <c r="B24" s="54">
        <f>DATE(YEAR(B23),MONTH(B23)+1,1)</f>
        <v/>
      </c>
      <c r="C24" s="42" t="n"/>
      <c r="D24" s="42" t="n"/>
      <c r="E24" s="42" t="n"/>
      <c r="F24" s="42" t="n"/>
      <c r="G24" s="42" t="n"/>
      <c r="H24" s="23">
        <f>SUM(C24:G24)</f>
        <v/>
      </c>
      <c r="I24" s="42" t="n"/>
      <c r="J24" s="42" t="n"/>
      <c r="K24" s="42" t="n"/>
      <c r="L24" s="42" t="n"/>
      <c r="M24" s="23">
        <f>SUM(I24:L24)</f>
        <v/>
      </c>
      <c r="N24" s="55">
        <f>IF(AND(H24=0,M24=0),"",H24-M24)</f>
        <v/>
      </c>
      <c r="O24" s="43">
        <f>IF(OR(N24="",N23=""),"",N24-N23)</f>
        <v/>
      </c>
    </row>
    <row r="25">
      <c r="B25" s="54">
        <f>DATE(YEAR(B24),MONTH(B24)+1,1)</f>
        <v/>
      </c>
      <c r="C25" s="42" t="n"/>
      <c r="D25" s="42" t="n"/>
      <c r="E25" s="42" t="n"/>
      <c r="F25" s="42" t="n"/>
      <c r="G25" s="42" t="n"/>
      <c r="H25" s="23">
        <f>SUM(C25:G25)</f>
        <v/>
      </c>
      <c r="I25" s="42" t="n"/>
      <c r="J25" s="42" t="n"/>
      <c r="K25" s="42" t="n"/>
      <c r="L25" s="42" t="n"/>
      <c r="M25" s="23">
        <f>SUM(I25:L25)</f>
        <v/>
      </c>
      <c r="N25" s="55">
        <f>IF(AND(H25=0,M25=0),"",H25-M25)</f>
        <v/>
      </c>
      <c r="O25" s="43">
        <f>IF(OR(N25="",N24=""),"",N25-N24)</f>
        <v/>
      </c>
    </row>
    <row r="26">
      <c r="B26" s="54">
        <f>DATE(YEAR(B25),MONTH(B25)+1,1)</f>
        <v/>
      </c>
      <c r="C26" s="42" t="n"/>
      <c r="D26" s="42" t="n"/>
      <c r="E26" s="42" t="n"/>
      <c r="F26" s="42" t="n"/>
      <c r="G26" s="42" t="n"/>
      <c r="H26" s="23">
        <f>SUM(C26:G26)</f>
        <v/>
      </c>
      <c r="I26" s="42" t="n"/>
      <c r="J26" s="42" t="n"/>
      <c r="K26" s="42" t="n"/>
      <c r="L26" s="42" t="n"/>
      <c r="M26" s="23">
        <f>SUM(I26:L26)</f>
        <v/>
      </c>
      <c r="N26" s="55">
        <f>IF(AND(H26=0,M26=0),"",H26-M26)</f>
        <v/>
      </c>
      <c r="O26" s="43">
        <f>IF(OR(N26="",N25=""),"",N26-N25)</f>
        <v/>
      </c>
    </row>
    <row r="27">
      <c r="B27" s="54">
        <f>DATE(YEAR(B26),MONTH(B26)+1,1)</f>
        <v/>
      </c>
      <c r="C27" s="42" t="n"/>
      <c r="D27" s="42" t="n"/>
      <c r="E27" s="42" t="n"/>
      <c r="F27" s="42" t="n"/>
      <c r="G27" s="42" t="n"/>
      <c r="H27" s="23">
        <f>SUM(C27:G27)</f>
        <v/>
      </c>
      <c r="I27" s="42" t="n"/>
      <c r="J27" s="42" t="n"/>
      <c r="K27" s="42" t="n"/>
      <c r="L27" s="42" t="n"/>
      <c r="M27" s="23">
        <f>SUM(I27:L27)</f>
        <v/>
      </c>
      <c r="N27" s="55">
        <f>IF(AND(H27=0,M27=0),"",H27-M27)</f>
        <v/>
      </c>
      <c r="O27" s="43">
        <f>IF(OR(N27="",N26=""),"",N27-N26)</f>
        <v/>
      </c>
    </row>
    <row r="28">
      <c r="B28" s="54">
        <f>DATE(YEAR(B27),MONTH(B27)+1,1)</f>
        <v/>
      </c>
      <c r="C28" s="42" t="n"/>
      <c r="D28" s="42" t="n"/>
      <c r="E28" s="42" t="n"/>
      <c r="F28" s="42" t="n"/>
      <c r="G28" s="42" t="n"/>
      <c r="H28" s="23">
        <f>SUM(C28:G28)</f>
        <v/>
      </c>
      <c r="I28" s="42" t="n"/>
      <c r="J28" s="42" t="n"/>
      <c r="K28" s="42" t="n"/>
      <c r="L28" s="42" t="n"/>
      <c r="M28" s="23">
        <f>SUM(I28:L28)</f>
        <v/>
      </c>
      <c r="N28" s="55">
        <f>IF(AND(H28=0,M28=0),"",H28-M28)</f>
        <v/>
      </c>
      <c r="O28" s="43">
        <f>IF(OR(N28="",N27=""),"",N28-N27)</f>
        <v/>
      </c>
    </row>
    <row r="29">
      <c r="B29" s="54">
        <f>DATE(YEAR(B28),MONTH(B28)+1,1)</f>
        <v/>
      </c>
      <c r="C29" s="42" t="n"/>
      <c r="D29" s="42" t="n"/>
      <c r="E29" s="42" t="n"/>
      <c r="F29" s="42" t="n"/>
      <c r="G29" s="42" t="n"/>
      <c r="H29" s="23">
        <f>SUM(C29:G29)</f>
        <v/>
      </c>
      <c r="I29" s="42" t="n"/>
      <c r="J29" s="42" t="n"/>
      <c r="K29" s="42" t="n"/>
      <c r="L29" s="42" t="n"/>
      <c r="M29" s="23">
        <f>SUM(I29:L29)</f>
        <v/>
      </c>
      <c r="N29" s="55">
        <f>IF(AND(H29=0,M29=0),"",H29-M29)</f>
        <v/>
      </c>
      <c r="O29" s="43">
        <f>IF(OR(N29="",N28=""),"",N29-N28)</f>
        <v/>
      </c>
    </row>
    <row r="30">
      <c r="B30" s="54">
        <f>DATE(YEAR(B29),MONTH(B29)+1,1)</f>
        <v/>
      </c>
      <c r="C30" s="42" t="n"/>
      <c r="D30" s="42" t="n"/>
      <c r="E30" s="42" t="n"/>
      <c r="F30" s="42" t="n"/>
      <c r="G30" s="42" t="n"/>
      <c r="H30" s="23">
        <f>SUM(C30:G30)</f>
        <v/>
      </c>
      <c r="I30" s="42" t="n"/>
      <c r="J30" s="42" t="n"/>
      <c r="K30" s="42" t="n"/>
      <c r="L30" s="42" t="n"/>
      <c r="M30" s="23">
        <f>SUM(I30:L30)</f>
        <v/>
      </c>
      <c r="N30" s="55">
        <f>IF(AND(H30=0,M30=0),"",H30-M30)</f>
        <v/>
      </c>
      <c r="O30" s="43">
        <f>IF(OR(N30="",N29=""),"",N30-N29)</f>
        <v/>
      </c>
    </row>
    <row r="31">
      <c r="B31" s="10" t="inlineStr">
        <is>
          <t>First 3 months are examples – overwrite them.</t>
        </is>
      </c>
    </row>
  </sheetData>
  <conditionalFormatting sqref="O7:O30">
    <cfRule type="cellIs" priority="1" operator="lessThan" dxfId="6">
      <formula>0</formula>
    </cfRule>
    <cfRule type="cellIs" priority="2" operator="greaterThan" dxfId="7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2026-09-24T14:45:10Z</dcterms:created>
  <dcterms:modified xsi:type="dcterms:W3CDTF">2026-09-24T14:45:10Z</dcterms:modified>
</cp:coreProperties>
</file>